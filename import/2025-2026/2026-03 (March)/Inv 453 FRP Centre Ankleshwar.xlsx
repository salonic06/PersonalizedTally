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E:\GST Invoice Lamitech\2025-2026 Tax Invoice\Tax Invoice\"/>
    </mc:Choice>
  </mc:AlternateContent>
  <bookViews>
    <workbookView xWindow="0" yWindow="0" windowWidth="20496" windowHeight="7656"/>
  </bookViews>
  <sheets>
    <sheet name="Tax Invoice - Intra State" sheetId="1" r:id="rId1"/>
    <sheet name="Sheet1" sheetId="2"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27" i="1" l="1"/>
  <c r="O26" i="1" l="1"/>
  <c r="O41" i="1" l="1"/>
  <c r="O42" i="1" l="1"/>
  <c r="O43" i="1" s="1"/>
</calcChain>
</file>

<file path=xl/sharedStrings.xml><?xml version="1.0" encoding="utf-8"?>
<sst xmlns="http://schemas.openxmlformats.org/spreadsheetml/2006/main" count="54" uniqueCount="49">
  <si>
    <t>Tax Invoice</t>
  </si>
  <si>
    <t xml:space="preserve">Reverse Charge (Y/N): </t>
  </si>
  <si>
    <t>N</t>
  </si>
  <si>
    <t>Code</t>
  </si>
  <si>
    <t>S. No.</t>
  </si>
  <si>
    <t>Product Description</t>
  </si>
  <si>
    <t>Total Amount after Tax:</t>
  </si>
  <si>
    <t>GST on Reverse Charge</t>
  </si>
  <si>
    <t>Ceritified that the particulars given above are true and correct</t>
  </si>
  <si>
    <t>Original for Receipient</t>
  </si>
  <si>
    <t>Duplicate for Transporter</t>
  </si>
  <si>
    <t>Qty.</t>
  </si>
  <si>
    <t>Total  Amount</t>
  </si>
  <si>
    <t>HSN Code</t>
  </si>
  <si>
    <t>Unit</t>
  </si>
  <si>
    <t>P.O. No. :</t>
  </si>
  <si>
    <t xml:space="preserve">P.O. Date: </t>
  </si>
  <si>
    <t>GSTIN: 27AEPPC2120N1ZI</t>
  </si>
  <si>
    <t xml:space="preserve">Total Amount Before Tax </t>
  </si>
  <si>
    <t>Rate Rs.</t>
  </si>
  <si>
    <t>Triplicate for Supplier</t>
  </si>
  <si>
    <t xml:space="preserve">                         Leading Manufacturers of Vinyl Ester &amp; Polyester Resins</t>
  </si>
  <si>
    <t xml:space="preserve">Add: IGST </t>
  </si>
  <si>
    <r>
      <rPr>
        <b/>
        <sz val="11"/>
        <rFont val="Calibri"/>
        <family val="2"/>
        <scheme val="minor"/>
      </rPr>
      <t>Factory:</t>
    </r>
    <r>
      <rPr>
        <sz val="11"/>
        <rFont val="Calibri"/>
        <family val="2"/>
        <scheme val="minor"/>
      </rPr>
      <t xml:space="preserve"> Plot No. D-7, Supa MIDC, Taluka-Parner, Dist-Ahmednagar - 414301. Maharashtra, INDIA. 
Ph. 020-2638 1842, Mob. : +91 72760 73396, +91 94220 85806, 
</t>
    </r>
    <r>
      <rPr>
        <b/>
        <sz val="11"/>
        <rFont val="Calibri"/>
        <family val="2"/>
        <scheme val="minor"/>
      </rPr>
      <t>E-mail :</t>
    </r>
    <r>
      <rPr>
        <sz val="11"/>
        <rFont val="Calibri"/>
        <family val="2"/>
        <scheme val="minor"/>
      </rPr>
      <t xml:space="preserve"> lamitechpolymers@yahoo.com, lamitechpolymers@gmail.com, </t>
    </r>
    <r>
      <rPr>
        <b/>
        <sz val="11"/>
        <rFont val="Calibri"/>
        <family val="2"/>
        <scheme val="minor"/>
      </rPr>
      <t>Web :</t>
    </r>
    <r>
      <rPr>
        <sz val="11"/>
        <rFont val="Calibri"/>
        <family val="2"/>
        <scheme val="minor"/>
      </rPr>
      <t xml:space="preserve"> www.lamitechpolymers.com.</t>
    </r>
  </si>
  <si>
    <r>
      <rPr>
        <b/>
        <sz val="9"/>
        <color theme="1"/>
        <rFont val="Calibri"/>
        <family val="2"/>
        <scheme val="minor"/>
      </rPr>
      <t>Terms &amp; conditions :</t>
    </r>
    <r>
      <rPr>
        <sz val="9"/>
        <color theme="1"/>
        <rFont val="Calibri"/>
        <family val="2"/>
        <scheme val="minor"/>
      </rPr>
      <t xml:space="preserve"> 
1) Interest at 18% p. a.  will be charged if the invoice is not paid by due date. 
2) No claim in respect of material supplied vide this invoice will be entertained unless the same is lodged in writing within 7 days of dispatch. 
3) All our transactions are subject to Pune Jurisdiction.</t>
    </r>
  </si>
  <si>
    <t xml:space="preserve">         For LAMITECH POLYMERS  
             Authorised Signatory                                  </t>
  </si>
  <si>
    <r>
      <rPr>
        <b/>
        <sz val="11"/>
        <color theme="1"/>
        <rFont val="Calibri"/>
        <family val="2"/>
        <scheme val="minor"/>
      </rPr>
      <t xml:space="preserve">Bank Details: </t>
    </r>
    <r>
      <rPr>
        <sz val="11"/>
        <color theme="1"/>
        <rFont val="Calibri"/>
        <family val="2"/>
        <scheme val="minor"/>
      </rPr>
      <t xml:space="preserve">
Bank Name &amp; Branch : Canara Bank, Bhavani Peth Branch,
Bank A/C: 0361261004246 - IFSC: CNRB0000361</t>
    </r>
  </si>
  <si>
    <t>Billed To :</t>
  </si>
  <si>
    <t>Shipped To :</t>
  </si>
  <si>
    <t>Kg</t>
  </si>
  <si>
    <r>
      <t xml:space="preserve">State: </t>
    </r>
    <r>
      <rPr>
        <sz val="11"/>
        <color theme="1"/>
        <rFont val="Calibri"/>
        <family val="2"/>
        <scheme val="minor"/>
      </rPr>
      <t>Maharashtra</t>
    </r>
  </si>
  <si>
    <r>
      <t xml:space="preserve">State: </t>
    </r>
    <r>
      <rPr>
        <sz val="11"/>
        <color theme="1"/>
        <rFont val="Calibri"/>
        <family val="2"/>
        <scheme val="minor"/>
      </rPr>
      <t>Gujarat</t>
    </r>
  </si>
  <si>
    <r>
      <t>State:</t>
    </r>
    <r>
      <rPr>
        <sz val="11"/>
        <color theme="1"/>
        <rFont val="Calibri"/>
        <family val="2"/>
        <scheme val="minor"/>
      </rPr>
      <t xml:space="preserve"> Gujarat</t>
    </r>
  </si>
  <si>
    <t>Freight</t>
  </si>
  <si>
    <r>
      <t>Payment Terms :</t>
    </r>
    <r>
      <rPr>
        <sz val="11"/>
        <color theme="1"/>
        <rFont val="Calibri"/>
        <family val="2"/>
        <scheme val="minor"/>
      </rPr>
      <t xml:space="preserve"> 30 days PDC</t>
    </r>
  </si>
  <si>
    <r>
      <t xml:space="preserve">Place of Supply : </t>
    </r>
    <r>
      <rPr>
        <sz val="11"/>
        <color theme="1"/>
        <rFont val="Calibri"/>
        <family val="2"/>
        <scheme val="minor"/>
      </rPr>
      <t>Ankaleshwar GIDC</t>
    </r>
  </si>
  <si>
    <t>Name: M/s FRP Centre</t>
  </si>
  <si>
    <r>
      <t xml:space="preserve">Address: </t>
    </r>
    <r>
      <rPr>
        <sz val="11"/>
        <color theme="1"/>
        <rFont val="Calibri"/>
        <family val="2"/>
        <scheme val="minor"/>
      </rPr>
      <t xml:space="preserve">Plot No. 92, Yogi Estate, Nr Karmatur Chowkdi,
Behind GEB Sub Power,
GIDC Ankleshwar, Gujarat - 393 002
Mr Ravin - 9898042221
</t>
    </r>
  </si>
  <si>
    <r>
      <t xml:space="preserve">Address: </t>
    </r>
    <r>
      <rPr>
        <sz val="11"/>
        <color theme="1"/>
        <rFont val="Calibri"/>
        <family val="2"/>
        <scheme val="minor"/>
      </rPr>
      <t xml:space="preserve">Plot No. 92, Yogi Estate, Nr Karmatur Chowkdi,
Behind GEB Sub Power,
GIDC Ankleshwar, Gujarat - 393 002
Mr Ravin - 9898042221
</t>
    </r>
  </si>
  <si>
    <r>
      <t xml:space="preserve">GSTIN: </t>
    </r>
    <r>
      <rPr>
        <sz val="11"/>
        <color theme="1"/>
        <rFont val="Calibri"/>
        <family val="2"/>
        <scheme val="minor"/>
      </rPr>
      <t>24AJUPP0786H1ZO</t>
    </r>
  </si>
  <si>
    <t>Lampol-760 (VER)</t>
  </si>
  <si>
    <t>Lampol-700 (Promoter)</t>
  </si>
  <si>
    <t>Whatsapp by Mr Ravin Patel</t>
  </si>
  <si>
    <t xml:space="preserve"> </t>
  </si>
  <si>
    <r>
      <t xml:space="preserve">Transport Mode: </t>
    </r>
    <r>
      <rPr>
        <sz val="11"/>
        <color theme="1"/>
        <rFont val="Calibri"/>
        <family val="2"/>
        <scheme val="minor"/>
      </rPr>
      <t xml:space="preserve"> ACPL Tr, To pay, Tr godown</t>
    </r>
  </si>
  <si>
    <t>Tax Invoice No. : 453</t>
  </si>
  <si>
    <r>
      <t>Tax Invoice Dt.:</t>
    </r>
    <r>
      <rPr>
        <sz val="11"/>
        <color theme="1"/>
        <rFont val="Calibri"/>
        <family val="2"/>
        <scheme val="minor"/>
      </rPr>
      <t xml:space="preserve"> 10.03.2026</t>
    </r>
  </si>
  <si>
    <r>
      <t xml:space="preserve">Total Amount in Words : 
</t>
    </r>
    <r>
      <rPr>
        <sz val="11"/>
        <color theme="1"/>
        <rFont val="Arial"/>
        <family val="2"/>
      </rPr>
      <t>Rs One Lakh Seven Thousand Nine Hundred Twenty Two and Eighty Paise Only</t>
    </r>
    <r>
      <rPr>
        <b/>
        <sz val="11"/>
        <color theme="1"/>
        <rFont val="Arial"/>
        <family val="2"/>
      </rPr>
      <t xml:space="preserve">
</t>
    </r>
  </si>
  <si>
    <r>
      <t xml:space="preserve">Eway Bill No: </t>
    </r>
    <r>
      <rPr>
        <sz val="11"/>
        <color theme="1"/>
        <rFont val="Calibri"/>
        <family val="2"/>
        <scheme val="minor"/>
      </rPr>
      <t>2321 5749 5813</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</si>
</sst>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8" x14ac:knownFonts="1">
    <font>
      <sz val="11"/>
      <color theme="1"/>
      <name val="Calibri"/>
      <family val="2"/>
      <scheme val="minor"/>
    </font>
    <font>
      <b/>
      <sz val="11"/>
      <color theme="1"/>
      <name val="Calibri"/>
      <family val="2"/>
      <scheme val="minor"/>
    </font>
    <font>
      <b/>
      <sz val="9"/>
      <color theme="1"/>
      <name val="Calibri"/>
      <family val="2"/>
      <scheme val="minor"/>
    </font>
    <font>
      <b/>
      <sz val="14"/>
      <color theme="1"/>
      <name val="Calibri"/>
      <family val="2"/>
      <scheme val="minor"/>
    </font>
    <font>
      <b/>
      <sz val="12"/>
      <color theme="1"/>
      <name val="Calibri"/>
      <family val="2"/>
      <scheme val="minor"/>
    </font>
    <font>
      <b/>
      <sz val="8"/>
      <color theme="1"/>
      <name val="Calibri"/>
      <family val="2"/>
      <scheme val="minor"/>
    </font>
    <font>
      <b/>
      <sz val="12"/>
      <color theme="1"/>
      <name val="Calibri"/>
      <family val="2"/>
    </font>
    <font>
      <sz val="11"/>
      <name val="Calibri"/>
      <family val="2"/>
      <scheme val="minor"/>
    </font>
    <font>
      <b/>
      <sz val="11"/>
      <color theme="1"/>
      <name val="Arial"/>
      <family val="2"/>
    </font>
    <font>
      <sz val="11"/>
      <color theme="1"/>
      <name val="Arial"/>
      <family val="2"/>
    </font>
    <font>
      <sz val="10"/>
      <color theme="1"/>
      <name val="Arial"/>
      <family val="2"/>
    </font>
    <font>
      <b/>
      <sz val="15"/>
      <color theme="1"/>
      <name val="Calibri"/>
      <family val="2"/>
      <scheme val="minor"/>
    </font>
    <font>
      <sz val="9"/>
      <color theme="1"/>
      <name val="Calibri"/>
      <family val="2"/>
      <scheme val="minor"/>
    </font>
    <font>
      <sz val="32"/>
      <color theme="1"/>
      <name val="Britannic Bold"/>
      <family val="2"/>
    </font>
    <font>
      <sz val="10"/>
      <color theme="1"/>
      <name val="Calibri"/>
      <family val="2"/>
      <scheme val="minor"/>
    </font>
    <font>
      <b/>
      <sz val="11"/>
      <name val="Calibri"/>
      <family val="2"/>
      <scheme val="minor"/>
    </font>
    <font>
      <sz val="8"/>
      <color theme="1"/>
      <name val="Calibri"/>
      <family val="2"/>
      <scheme val="minor"/>
    </font>
    <font>
      <sz val="22"/>
      <color theme="1"/>
      <name val="Bookman Old Style"/>
      <family val="1"/>
    </font>
  </fonts>
  <fills count="2">
    <fill>
      <patternFill patternType="none"/>
    </fill>
    <fill>
      <patternFill patternType="gray125"/>
    </fill>
  </fills>
  <borders count="37">
    <border>
      <left/>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medium">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bottom style="thin">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top/>
      <bottom/>
      <diagonal/>
    </border>
    <border>
      <left/>
      <right style="thin">
        <color indexed="64"/>
      </right>
      <top/>
      <bottom/>
      <diagonal/>
    </border>
    <border>
      <left/>
      <right/>
      <top style="thin">
        <color indexed="64"/>
      </top>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medium">
        <color indexed="64"/>
      </top>
      <bottom style="thin">
        <color indexed="64"/>
      </bottom>
      <diagonal/>
    </border>
    <border>
      <left style="medium">
        <color indexed="64"/>
      </left>
      <right style="thin">
        <color indexed="64"/>
      </right>
      <top/>
      <bottom/>
      <diagonal/>
    </border>
  </borders>
  <cellStyleXfs count="1">
    <xf numFmtId="0" fontId="0" fillId="0" borderId="0"/>
  </cellStyleXfs>
  <cellXfs count="142">
    <xf numFmtId="0" fontId="0" fillId="0" borderId="0" xfId="0"/>
    <xf numFmtId="0" fontId="0" fillId="0" borderId="0" xfId="0" applyAlignment="1">
      <alignment vertical="top"/>
    </xf>
    <xf numFmtId="0" fontId="6" fillId="0" borderId="17" xfId="0" applyFont="1" applyBorder="1" applyAlignment="1">
      <alignment vertical="center" wrapText="1"/>
    </xf>
    <xf numFmtId="0" fontId="0" fillId="0" borderId="33" xfId="0" applyBorder="1"/>
    <xf numFmtId="0" fontId="0" fillId="0" borderId="34" xfId="0" applyBorder="1"/>
    <xf numFmtId="0" fontId="14" fillId="0" borderId="0" xfId="0" applyFont="1" applyAlignment="1">
      <alignment vertical="top"/>
    </xf>
    <xf numFmtId="0" fontId="0" fillId="0" borderId="1" xfId="0" applyBorder="1"/>
    <xf numFmtId="0" fontId="0" fillId="0" borderId="2" xfId="0" applyBorder="1"/>
    <xf numFmtId="0" fontId="0" fillId="0" borderId="3" xfId="0" applyBorder="1"/>
    <xf numFmtId="0" fontId="5" fillId="0" borderId="35" xfId="0" applyFont="1" applyBorder="1" applyAlignment="1">
      <alignment vertical="center" wrapText="1"/>
    </xf>
    <xf numFmtId="0" fontId="0" fillId="0" borderId="36" xfId="0" applyBorder="1"/>
    <xf numFmtId="0" fontId="6" fillId="0" borderId="11" xfId="0" applyFont="1" applyBorder="1" applyAlignment="1">
      <alignment vertical="center" wrapText="1"/>
    </xf>
    <xf numFmtId="0" fontId="1" fillId="0" borderId="11" xfId="0" applyFont="1" applyBorder="1" applyAlignment="1">
      <alignment vertical="top"/>
    </xf>
    <xf numFmtId="0" fontId="1" fillId="0" borderId="11" xfId="0" applyFont="1" applyBorder="1"/>
    <xf numFmtId="0" fontId="0" fillId="0" borderId="14" xfId="0" applyBorder="1"/>
    <xf numFmtId="164" fontId="0" fillId="0" borderId="33" xfId="0" applyNumberFormat="1" applyBorder="1" applyAlignment="1">
      <alignment horizontal="left"/>
    </xf>
    <xf numFmtId="0" fontId="0" fillId="0" borderId="33" xfId="0" applyBorder="1" applyAlignment="1">
      <alignment horizontal="left"/>
    </xf>
    <xf numFmtId="0" fontId="8" fillId="0" borderId="17" xfId="0" applyFont="1" applyBorder="1" applyAlignment="1">
      <alignment vertical="center"/>
    </xf>
    <xf numFmtId="0" fontId="8" fillId="0" borderId="12" xfId="0" applyFont="1" applyBorder="1" applyAlignment="1">
      <alignment vertical="center"/>
    </xf>
    <xf numFmtId="0" fontId="8" fillId="0" borderId="18" xfId="0" applyFont="1" applyBorder="1" applyAlignment="1">
      <alignment vertical="center"/>
    </xf>
    <xf numFmtId="0" fontId="8" fillId="0" borderId="25" xfId="0" applyFont="1" applyBorder="1" applyAlignment="1">
      <alignment horizontal="left" vertical="top" wrapText="1"/>
    </xf>
    <xf numFmtId="0" fontId="8" fillId="0" borderId="24" xfId="0" applyFont="1" applyBorder="1" applyAlignment="1">
      <alignment horizontal="left" vertical="top"/>
    </xf>
    <xf numFmtId="0" fontId="8" fillId="0" borderId="31" xfId="0" applyFont="1" applyBorder="1" applyAlignment="1">
      <alignment horizontal="left" vertical="top"/>
    </xf>
    <xf numFmtId="0" fontId="8" fillId="0" borderId="3" xfId="0" applyFont="1" applyBorder="1" applyAlignment="1">
      <alignment horizontal="left" vertical="top"/>
    </xf>
    <xf numFmtId="0" fontId="8" fillId="0" borderId="0" xfId="0" applyFont="1" applyAlignment="1">
      <alignment horizontal="left" vertical="top"/>
    </xf>
    <xf numFmtId="0" fontId="8" fillId="0" borderId="23" xfId="0" applyFont="1" applyBorder="1" applyAlignment="1">
      <alignment horizontal="left" vertical="top"/>
    </xf>
    <xf numFmtId="0" fontId="8" fillId="0" borderId="27" xfId="0" applyFont="1" applyBorder="1" applyAlignment="1">
      <alignment horizontal="left" vertical="top"/>
    </xf>
    <xf numFmtId="0" fontId="8" fillId="0" borderId="28" xfId="0" applyFont="1" applyBorder="1" applyAlignment="1">
      <alignment horizontal="left" vertical="top"/>
    </xf>
    <xf numFmtId="0" fontId="8" fillId="0" borderId="29" xfId="0" applyFont="1" applyBorder="1" applyAlignment="1">
      <alignment horizontal="left" vertical="top"/>
    </xf>
    <xf numFmtId="0" fontId="10" fillId="0" borderId="32" xfId="0" applyFont="1" applyBorder="1" applyAlignment="1">
      <alignment horizontal="center" vertical="center" wrapText="1"/>
    </xf>
    <xf numFmtId="0" fontId="10" fillId="0" borderId="24"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28" xfId="0" applyFont="1" applyBorder="1" applyAlignment="1">
      <alignment horizontal="center" vertical="center" wrapText="1"/>
    </xf>
    <xf numFmtId="0" fontId="10" fillId="0" borderId="19" xfId="0" applyFont="1" applyBorder="1" applyAlignment="1">
      <alignment horizontal="center" vertical="center" wrapText="1"/>
    </xf>
    <xf numFmtId="0" fontId="0" fillId="0" borderId="22" xfId="0" applyBorder="1" applyAlignment="1">
      <alignment horizontal="center"/>
    </xf>
    <xf numFmtId="0" fontId="0" fillId="0" borderId="0" xfId="0" applyAlignment="1">
      <alignment horizontal="center"/>
    </xf>
    <xf numFmtId="0" fontId="0" fillId="0" borderId="23" xfId="0" applyBorder="1" applyAlignment="1">
      <alignment horizontal="center"/>
    </xf>
    <xf numFmtId="0" fontId="0" fillId="0" borderId="4" xfId="0" applyBorder="1" applyAlignment="1">
      <alignment horizontal="center"/>
    </xf>
    <xf numFmtId="2" fontId="0" fillId="0" borderId="17" xfId="0" applyNumberFormat="1" applyBorder="1" applyAlignment="1">
      <alignment horizontal="center" vertical="center"/>
    </xf>
    <xf numFmtId="2" fontId="0" fillId="0" borderId="13" xfId="0" applyNumberFormat="1" applyBorder="1" applyAlignment="1">
      <alignment horizontal="center" vertical="center"/>
    </xf>
    <xf numFmtId="9" fontId="8" fillId="0" borderId="12" xfId="0" applyNumberFormat="1" applyFont="1" applyBorder="1" applyAlignment="1">
      <alignment horizontal="center" vertical="center"/>
    </xf>
    <xf numFmtId="9" fontId="8" fillId="0" borderId="18" xfId="0" applyNumberFormat="1" applyFont="1" applyBorder="1" applyAlignment="1">
      <alignment horizontal="center" vertical="center"/>
    </xf>
    <xf numFmtId="0" fontId="8" fillId="0" borderId="17" xfId="0" applyFont="1" applyBorder="1" applyAlignment="1">
      <alignment horizontal="left" vertical="center"/>
    </xf>
    <xf numFmtId="0" fontId="8" fillId="0" borderId="12" xfId="0" applyFont="1" applyBorder="1" applyAlignment="1">
      <alignment horizontal="left" vertical="center"/>
    </xf>
    <xf numFmtId="0" fontId="9" fillId="0" borderId="11" xfId="0" applyFont="1" applyBorder="1" applyAlignment="1">
      <alignment horizontal="left"/>
    </xf>
    <xf numFmtId="2" fontId="1" fillId="0" borderId="11" xfId="0" applyNumberFormat="1" applyFont="1" applyBorder="1" applyAlignment="1">
      <alignment horizontal="center" vertical="center"/>
    </xf>
    <xf numFmtId="2" fontId="1" fillId="0" borderId="14" xfId="0" applyNumberFormat="1" applyFont="1" applyBorder="1" applyAlignment="1">
      <alignment horizontal="center" vertical="center"/>
    </xf>
    <xf numFmtId="0" fontId="0" fillId="0" borderId="16" xfId="0" applyBorder="1" applyAlignment="1">
      <alignment horizontal="center"/>
    </xf>
    <xf numFmtId="0" fontId="0" fillId="0" borderId="16" xfId="0" applyBorder="1"/>
    <xf numFmtId="0" fontId="0" fillId="0" borderId="0" xfId="0"/>
    <xf numFmtId="0" fontId="0" fillId="0" borderId="23" xfId="0" applyBorder="1"/>
    <xf numFmtId="0" fontId="8" fillId="0" borderId="11" xfId="0" applyFont="1" applyBorder="1"/>
    <xf numFmtId="0" fontId="1" fillId="0" borderId="14" xfId="0" applyFont="1" applyBorder="1" applyAlignment="1">
      <alignment horizontal="center" vertical="center"/>
    </xf>
    <xf numFmtId="9" fontId="0" fillId="0" borderId="11" xfId="0" applyNumberFormat="1" applyBorder="1" applyAlignment="1">
      <alignment horizontal="center"/>
    </xf>
    <xf numFmtId="0" fontId="0" fillId="0" borderId="11" xfId="0" applyBorder="1" applyAlignment="1">
      <alignment horizontal="center"/>
    </xf>
    <xf numFmtId="0" fontId="13" fillId="0" borderId="2" xfId="0" applyFont="1" applyBorder="1" applyAlignment="1">
      <alignment horizontal="center"/>
    </xf>
    <xf numFmtId="0" fontId="13" fillId="0" borderId="15" xfId="0" applyFont="1" applyBorder="1" applyAlignment="1">
      <alignment horizontal="center"/>
    </xf>
    <xf numFmtId="0" fontId="13" fillId="0" borderId="0" xfId="0" applyFont="1" applyAlignment="1">
      <alignment horizontal="center"/>
    </xf>
    <xf numFmtId="0" fontId="13" fillId="0" borderId="23" xfId="0" applyFont="1" applyBorder="1" applyAlignment="1">
      <alignment horizontal="center"/>
    </xf>
    <xf numFmtId="0" fontId="1" fillId="0" borderId="11" xfId="0" applyFont="1" applyBorder="1" applyAlignment="1">
      <alignment horizontal="left"/>
    </xf>
    <xf numFmtId="0" fontId="1" fillId="0" borderId="14" xfId="0" applyFont="1" applyBorder="1" applyAlignment="1">
      <alignment horizontal="left"/>
    </xf>
    <xf numFmtId="0" fontId="1" fillId="0" borderId="10" xfId="0" applyFont="1" applyBorder="1" applyAlignment="1">
      <alignment horizontal="left" vertical="top"/>
    </xf>
    <xf numFmtId="0" fontId="1" fillId="0" borderId="11" xfId="0" applyFont="1" applyBorder="1" applyAlignment="1">
      <alignment horizontal="left" vertical="top"/>
    </xf>
    <xf numFmtId="0" fontId="3" fillId="0" borderId="10" xfId="0" applyFont="1" applyBorder="1" applyAlignment="1">
      <alignment horizontal="center"/>
    </xf>
    <xf numFmtId="0" fontId="3" fillId="0" borderId="11" xfId="0" applyFont="1" applyBorder="1" applyAlignment="1">
      <alignment horizontal="center"/>
    </xf>
    <xf numFmtId="0" fontId="3" fillId="0" borderId="14" xfId="0" applyFont="1" applyBorder="1" applyAlignment="1">
      <alignment horizontal="center"/>
    </xf>
    <xf numFmtId="0" fontId="1" fillId="0" borderId="10" xfId="0" applyFont="1" applyBorder="1" applyAlignment="1">
      <alignment horizontal="left"/>
    </xf>
    <xf numFmtId="0" fontId="1" fillId="0" borderId="11" xfId="0" applyFont="1" applyBorder="1" applyAlignment="1">
      <alignment horizontal="center"/>
    </xf>
    <xf numFmtId="0" fontId="1" fillId="0" borderId="14" xfId="0" applyFont="1" applyBorder="1" applyAlignment="1">
      <alignment horizontal="center"/>
    </xf>
    <xf numFmtId="0" fontId="3" fillId="0" borderId="3" xfId="0" applyFont="1" applyBorder="1" applyAlignment="1">
      <alignment horizontal="left" vertical="top" wrapText="1"/>
    </xf>
    <xf numFmtId="0" fontId="3" fillId="0" borderId="0" xfId="0" applyFont="1" applyAlignment="1">
      <alignment horizontal="left" vertical="top" wrapText="1"/>
    </xf>
    <xf numFmtId="0" fontId="3" fillId="0" borderId="4" xfId="0" applyFont="1" applyBorder="1" applyAlignment="1">
      <alignment horizontal="left" vertical="top" wrapText="1"/>
    </xf>
    <xf numFmtId="0" fontId="7" fillId="0" borderId="10" xfId="0" applyFont="1" applyBorder="1" applyAlignment="1">
      <alignment horizontal="center" vertical="top" wrapText="1"/>
    </xf>
    <xf numFmtId="0" fontId="7" fillId="0" borderId="11" xfId="0" applyFont="1" applyBorder="1" applyAlignment="1">
      <alignment horizontal="center" vertical="top" wrapText="1"/>
    </xf>
    <xf numFmtId="0" fontId="7" fillId="0" borderId="14" xfId="0" applyFont="1" applyBorder="1" applyAlignment="1">
      <alignment horizontal="center" vertical="top" wrapText="1"/>
    </xf>
    <xf numFmtId="0" fontId="5" fillId="0" borderId="0" xfId="0" applyFont="1" applyAlignment="1">
      <alignment horizontal="center" vertical="center" wrapText="1"/>
    </xf>
    <xf numFmtId="0" fontId="5" fillId="0" borderId="4" xfId="0" applyFont="1" applyBorder="1" applyAlignment="1">
      <alignment horizontal="center" vertical="center" wrapText="1"/>
    </xf>
    <xf numFmtId="0" fontId="0" fillId="0" borderId="22" xfId="0" applyBorder="1" applyAlignment="1">
      <alignment horizontal="left"/>
    </xf>
    <xf numFmtId="0" fontId="0" fillId="0" borderId="0" xfId="0" applyAlignment="1">
      <alignment horizontal="left"/>
    </xf>
    <xf numFmtId="0" fontId="0" fillId="0" borderId="23" xfId="0" applyBorder="1" applyAlignment="1">
      <alignment horizontal="left"/>
    </xf>
    <xf numFmtId="0" fontId="1" fillId="0" borderId="10" xfId="0" applyFont="1" applyBorder="1" applyAlignment="1">
      <alignment horizontal="center"/>
    </xf>
    <xf numFmtId="0" fontId="17" fillId="0" borderId="10" xfId="0" applyFont="1" applyBorder="1" applyAlignment="1">
      <alignment horizontal="center" vertical="center"/>
    </xf>
    <xf numFmtId="0" fontId="17" fillId="0" borderId="11" xfId="0" applyFont="1" applyBorder="1" applyAlignment="1">
      <alignment horizontal="center" vertical="center"/>
    </xf>
    <xf numFmtId="0" fontId="17" fillId="0" borderId="14" xfId="0" applyFont="1" applyBorder="1" applyAlignment="1">
      <alignment horizontal="center" vertical="center"/>
    </xf>
    <xf numFmtId="0" fontId="4" fillId="0" borderId="11" xfId="0" applyFont="1" applyBorder="1" applyAlignment="1">
      <alignment horizontal="center" vertical="center" wrapText="1"/>
    </xf>
    <xf numFmtId="0" fontId="4" fillId="0" borderId="14" xfId="0" applyFont="1" applyBorder="1" applyAlignment="1">
      <alignment horizontal="center" vertical="center" wrapText="1"/>
    </xf>
    <xf numFmtId="2" fontId="0" fillId="0" borderId="22" xfId="0" applyNumberFormat="1" applyBorder="1" applyAlignment="1">
      <alignment horizontal="left"/>
    </xf>
    <xf numFmtId="2" fontId="0" fillId="0" borderId="23" xfId="0" applyNumberFormat="1" applyBorder="1" applyAlignment="1">
      <alignment horizontal="left"/>
    </xf>
    <xf numFmtId="2" fontId="0" fillId="0" borderId="22" xfId="0" applyNumberFormat="1" applyBorder="1" applyAlignment="1">
      <alignment horizontal="right"/>
    </xf>
    <xf numFmtId="2" fontId="0" fillId="0" borderId="4" xfId="0" applyNumberFormat="1" applyBorder="1" applyAlignment="1">
      <alignment horizontal="right"/>
    </xf>
    <xf numFmtId="0" fontId="1" fillId="0" borderId="10" xfId="0" applyFont="1" applyBorder="1" applyAlignment="1">
      <alignment horizontal="left" vertical="top" wrapText="1"/>
    </xf>
    <xf numFmtId="0" fontId="1" fillId="0" borderId="14" xfId="0" applyFont="1" applyBorder="1" applyAlignment="1">
      <alignment horizontal="left" vertical="top"/>
    </xf>
    <xf numFmtId="0" fontId="1" fillId="0" borderId="11" xfId="0" applyFont="1" applyBorder="1" applyAlignment="1">
      <alignment horizontal="left" vertical="top" wrapText="1"/>
    </xf>
    <xf numFmtId="0" fontId="2" fillId="0" borderId="10" xfId="0" applyFont="1" applyBorder="1" applyAlignment="1">
      <alignment horizontal="center" vertical="center" wrapText="1"/>
    </xf>
    <xf numFmtId="0" fontId="4" fillId="0" borderId="11" xfId="0" applyFont="1" applyBorder="1" applyAlignment="1">
      <alignment vertical="center"/>
    </xf>
    <xf numFmtId="0" fontId="4" fillId="0" borderId="11" xfId="0" applyFont="1" applyBorder="1" applyAlignment="1">
      <alignment horizontal="center" vertical="center"/>
    </xf>
    <xf numFmtId="0" fontId="3" fillId="0" borderId="11" xfId="0" applyFont="1" applyBorder="1" applyAlignment="1">
      <alignment horizontal="center" vertical="center" wrapText="1"/>
    </xf>
    <xf numFmtId="0" fontId="0" fillId="0" borderId="30" xfId="0" applyBorder="1" applyAlignment="1">
      <alignment horizontal="center"/>
    </xf>
    <xf numFmtId="0" fontId="0" fillId="0" borderId="19" xfId="0" applyBorder="1" applyAlignment="1">
      <alignment horizontal="center"/>
    </xf>
    <xf numFmtId="0" fontId="11" fillId="0" borderId="32" xfId="0" applyFont="1" applyBorder="1" applyAlignment="1">
      <alignment vertical="top" wrapText="1"/>
    </xf>
    <xf numFmtId="0" fontId="11" fillId="0" borderId="24" xfId="0" applyFont="1" applyBorder="1" applyAlignment="1">
      <alignment vertical="top"/>
    </xf>
    <xf numFmtId="0" fontId="11" fillId="0" borderId="26" xfId="0" applyFont="1" applyBorder="1" applyAlignment="1">
      <alignment vertical="top"/>
    </xf>
    <xf numFmtId="0" fontId="11" fillId="0" borderId="22" xfId="0" applyFont="1" applyBorder="1" applyAlignment="1">
      <alignment vertical="top"/>
    </xf>
    <xf numFmtId="0" fontId="11" fillId="0" borderId="0" xfId="0" applyFont="1" applyAlignment="1">
      <alignment vertical="top"/>
    </xf>
    <xf numFmtId="0" fontId="11" fillId="0" borderId="4" xfId="0" applyFont="1" applyBorder="1" applyAlignment="1">
      <alignment vertical="top"/>
    </xf>
    <xf numFmtId="0" fontId="11" fillId="0" borderId="21" xfId="0" applyFont="1" applyBorder="1" applyAlignment="1">
      <alignment vertical="top"/>
    </xf>
    <xf numFmtId="0" fontId="11" fillId="0" borderId="6" xfId="0" applyFont="1" applyBorder="1" applyAlignment="1">
      <alignment vertical="top"/>
    </xf>
    <xf numFmtId="0" fontId="11" fillId="0" borderId="7" xfId="0" applyFont="1" applyBorder="1" applyAlignment="1">
      <alignment vertical="top"/>
    </xf>
    <xf numFmtId="0" fontId="0" fillId="0" borderId="25" xfId="0" applyBorder="1" applyAlignment="1">
      <alignment horizontal="left" vertical="top" wrapText="1"/>
    </xf>
    <xf numFmtId="0" fontId="0" fillId="0" borderId="24" xfId="0" applyBorder="1" applyAlignment="1">
      <alignment horizontal="left" vertical="top"/>
    </xf>
    <xf numFmtId="0" fontId="0" fillId="0" borderId="31" xfId="0" applyBorder="1" applyAlignment="1">
      <alignment horizontal="left" vertical="top"/>
    </xf>
    <xf numFmtId="0" fontId="0" fillId="0" borderId="3"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0" fillId="0" borderId="27" xfId="0" applyBorder="1" applyAlignment="1">
      <alignment horizontal="left" vertical="top"/>
    </xf>
    <xf numFmtId="0" fontId="0" fillId="0" borderId="28" xfId="0" applyBorder="1" applyAlignment="1">
      <alignment horizontal="left" vertical="top"/>
    </xf>
    <xf numFmtId="0" fontId="0" fillId="0" borderId="29" xfId="0" applyBorder="1" applyAlignment="1">
      <alignment horizontal="left" vertical="top"/>
    </xf>
    <xf numFmtId="0" fontId="16" fillId="0" borderId="35" xfId="0" applyFont="1" applyBorder="1" applyAlignment="1">
      <alignment horizontal="left" vertical="center" wrapText="1"/>
    </xf>
    <xf numFmtId="0" fontId="16" fillId="0" borderId="8" xfId="0" applyFont="1" applyBorder="1" applyAlignment="1">
      <alignment horizontal="left" vertical="center" wrapText="1"/>
    </xf>
    <xf numFmtId="0" fontId="16" fillId="0" borderId="9" xfId="0" applyFont="1" applyBorder="1" applyAlignment="1">
      <alignment horizontal="left" vertical="center" wrapText="1"/>
    </xf>
    <xf numFmtId="0" fontId="16" fillId="0" borderId="17" xfId="0" applyFont="1" applyBorder="1" applyAlignment="1">
      <alignment horizontal="left" vertical="center" wrapText="1"/>
    </xf>
    <xf numFmtId="0" fontId="16" fillId="0" borderId="12" xfId="0" applyFont="1" applyBorder="1" applyAlignment="1">
      <alignment horizontal="left" vertical="center" wrapText="1"/>
    </xf>
    <xf numFmtId="0" fontId="16" fillId="0" borderId="13" xfId="0" applyFont="1" applyBorder="1" applyAlignment="1">
      <alignment horizontal="left" vertical="center" wrapText="1"/>
    </xf>
    <xf numFmtId="0" fontId="12" fillId="0" borderId="25" xfId="0" applyFont="1" applyBorder="1" applyAlignment="1">
      <alignment horizontal="left" vertical="top" wrapText="1"/>
    </xf>
    <xf numFmtId="0" fontId="12" fillId="0" borderId="24" xfId="0" applyFont="1" applyBorder="1" applyAlignment="1">
      <alignment horizontal="left" vertical="top" wrapText="1"/>
    </xf>
    <xf numFmtId="0" fontId="12" fillId="0" borderId="31" xfId="0" applyFont="1" applyBorder="1" applyAlignment="1">
      <alignment horizontal="left" vertical="top" wrapText="1"/>
    </xf>
    <xf numFmtId="0" fontId="12" fillId="0" borderId="3" xfId="0" applyFont="1" applyBorder="1" applyAlignment="1">
      <alignment horizontal="left" vertical="top" wrapText="1"/>
    </xf>
    <xf numFmtId="0" fontId="12" fillId="0" borderId="0" xfId="0" applyFont="1" applyAlignment="1">
      <alignment horizontal="left" vertical="top" wrapText="1"/>
    </xf>
    <xf numFmtId="0" fontId="12" fillId="0" borderId="23" xfId="0" applyFont="1" applyBorder="1" applyAlignment="1">
      <alignment horizontal="left" vertical="top" wrapText="1"/>
    </xf>
    <xf numFmtId="0" fontId="12" fillId="0" borderId="5" xfId="0" applyFont="1" applyBorder="1" applyAlignment="1">
      <alignment horizontal="left" vertical="top" wrapText="1"/>
    </xf>
    <xf numFmtId="0" fontId="12" fillId="0" borderId="6" xfId="0" applyFont="1" applyBorder="1" applyAlignment="1">
      <alignment horizontal="left" vertical="top" wrapText="1"/>
    </xf>
    <xf numFmtId="0" fontId="12" fillId="0" borderId="20" xfId="0" applyFont="1" applyBorder="1" applyAlignment="1">
      <alignment horizontal="left" vertical="top" wrapText="1"/>
    </xf>
    <xf numFmtId="0" fontId="1" fillId="0" borderId="24" xfId="0" applyFont="1" applyBorder="1" applyAlignment="1">
      <alignment horizontal="center"/>
    </xf>
    <xf numFmtId="0" fontId="1" fillId="0" borderId="31" xfId="0" applyFont="1" applyBorder="1" applyAlignment="1">
      <alignment horizontal="center"/>
    </xf>
    <xf numFmtId="0" fontId="1" fillId="0" borderId="0" xfId="0" applyFont="1" applyAlignment="1">
      <alignment horizontal="center"/>
    </xf>
    <xf numFmtId="0" fontId="1" fillId="0" borderId="23" xfId="0" applyFont="1" applyBorder="1" applyAlignment="1">
      <alignment horizontal="center"/>
    </xf>
    <xf numFmtId="0" fontId="1" fillId="0" borderId="6" xfId="0" applyFont="1" applyBorder="1" applyAlignment="1">
      <alignment horizontal="center"/>
    </xf>
    <xf numFmtId="0" fontId="1" fillId="0" borderId="20" xfId="0" applyFont="1" applyBorder="1" applyAlignment="1">
      <alignment horizontal="center"/>
    </xf>
    <xf numFmtId="2" fontId="0" fillId="0" borderId="11" xfId="0" applyNumberFormat="1" applyBorder="1" applyAlignment="1">
      <alignment horizontal="center" vertical="top"/>
    </xf>
    <xf numFmtId="2" fontId="0" fillId="0" borderId="14" xfId="0" applyNumberFormat="1" applyBorder="1" applyAlignment="1">
      <alignment horizontal="center" vertical="top"/>
    </xf>
    <xf numFmtId="0" fontId="0" fillId="0" borderId="11" xfId="0" applyBorder="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64770</xdr:colOff>
      <xdr:row>0</xdr:row>
      <xdr:rowOff>0</xdr:rowOff>
    </xdr:from>
    <xdr:to>
      <xdr:col>1</xdr:col>
      <xdr:colOff>609600</xdr:colOff>
      <xdr:row>4</xdr:row>
      <xdr:rowOff>132160</xdr:rowOff>
    </xdr:to>
    <xdr:pic>
      <xdr:nvPicPr>
        <xdr:cNvPr id="5" name="Picture 4" descr="Lamitech logo.jpg">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stretch>
          <a:fillRect/>
        </a:stretch>
      </xdr:blipFill>
      <xdr:spPr>
        <a:xfrm>
          <a:off x="64770" y="0"/>
          <a:ext cx="773430" cy="825580"/>
        </a:xfrm>
        <a:prstGeom prst="rect">
          <a:avLst/>
        </a:prstGeom>
      </xdr:spPr>
    </xdr:pic>
    <xdr:clientData/>
  </xdr:twoCellAnchor>
  <xdr:twoCellAnchor editAs="oneCell">
    <xdr:from>
      <xdr:col>1</xdr:col>
      <xdr:colOff>762000</xdr:colOff>
      <xdr:row>0</xdr:row>
      <xdr:rowOff>152400</xdr:rowOff>
    </xdr:from>
    <xdr:to>
      <xdr:col>11</xdr:col>
      <xdr:colOff>297180</xdr:colOff>
      <xdr:row>3</xdr:row>
      <xdr:rowOff>160020</xdr:rowOff>
    </xdr:to>
    <xdr:pic>
      <xdr:nvPicPr>
        <xdr:cNvPr id="6" name="Picture 5" descr="Name.jpg">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2"/>
        <a:stretch>
          <a:fillRect/>
        </a:stretch>
      </xdr:blipFill>
      <xdr:spPr>
        <a:xfrm>
          <a:off x="990600" y="152400"/>
          <a:ext cx="4038600" cy="4724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R52"/>
  <sheetViews>
    <sheetView tabSelected="1" topLeftCell="A3" workbookViewId="0">
      <selection activeCell="A17" sqref="A17:H21"/>
    </sheetView>
  </sheetViews>
  <sheetFormatPr defaultRowHeight="14.4" x14ac:dyDescent="0.3"/>
  <cols>
    <col min="1" max="1" width="3.33203125" customWidth="1"/>
    <col min="2" max="2" width="13.6640625" customWidth="1"/>
    <col min="3" max="3" width="9.5546875" customWidth="1"/>
    <col min="4" max="4" width="3.33203125" customWidth="1"/>
    <col min="5" max="5" width="4.33203125" customWidth="1"/>
    <col min="6" max="6" width="4.44140625" customWidth="1"/>
    <col min="7" max="7" width="7.6640625" customWidth="1"/>
    <col min="8" max="8" width="3.33203125" customWidth="1"/>
    <col min="9" max="9" width="7.44140625" customWidth="1"/>
    <col min="10" max="10" width="2.6640625" customWidth="1"/>
    <col min="11" max="11" width="9.33203125" customWidth="1"/>
    <col min="12" max="12" width="5" customWidth="1"/>
    <col min="13" max="13" width="3" customWidth="1"/>
    <col min="14" max="14" width="5.6640625" customWidth="1"/>
    <col min="15" max="15" width="6.33203125" customWidth="1"/>
    <col min="16" max="16" width="9.33203125" customWidth="1"/>
    <col min="19" max="19" width="4.5546875" customWidth="1"/>
  </cols>
  <sheetData>
    <row r="1" spans="1:18" ht="11.7" customHeight="1" x14ac:dyDescent="0.3">
      <c r="A1" s="6"/>
      <c r="B1" s="7"/>
      <c r="C1" s="56"/>
      <c r="D1" s="56"/>
      <c r="E1" s="56"/>
      <c r="F1" s="56"/>
      <c r="G1" s="56"/>
      <c r="H1" s="56"/>
      <c r="I1" s="56"/>
      <c r="J1" s="56"/>
      <c r="K1" s="56"/>
      <c r="L1" s="57"/>
      <c r="M1" s="9"/>
      <c r="N1" s="118" t="s">
        <v>9</v>
      </c>
      <c r="O1" s="119"/>
      <c r="P1" s="120"/>
    </row>
    <row r="2" spans="1:18" ht="12.6" customHeight="1" x14ac:dyDescent="0.3">
      <c r="A2" s="8"/>
      <c r="C2" s="58"/>
      <c r="D2" s="58"/>
      <c r="E2" s="58"/>
      <c r="F2" s="58"/>
      <c r="G2" s="58"/>
      <c r="H2" s="58"/>
      <c r="I2" s="58"/>
      <c r="J2" s="58"/>
      <c r="K2" s="58"/>
      <c r="L2" s="59"/>
      <c r="M2" s="2"/>
      <c r="N2" s="121" t="s">
        <v>10</v>
      </c>
      <c r="O2" s="122"/>
      <c r="P2" s="123"/>
    </row>
    <row r="3" spans="1:18" ht="12" customHeight="1" x14ac:dyDescent="0.3">
      <c r="A3" s="8"/>
      <c r="C3" s="58"/>
      <c r="D3" s="58"/>
      <c r="E3" s="58"/>
      <c r="F3" s="58"/>
      <c r="G3" s="58"/>
      <c r="H3" s="58"/>
      <c r="I3" s="58"/>
      <c r="J3" s="58"/>
      <c r="K3" s="58"/>
      <c r="L3" s="59"/>
      <c r="M3" s="11"/>
      <c r="N3" s="121" t="s">
        <v>20</v>
      </c>
      <c r="O3" s="122"/>
      <c r="P3" s="123"/>
    </row>
    <row r="4" spans="1:18" ht="18.600000000000001" customHeight="1" x14ac:dyDescent="0.3">
      <c r="A4" s="8"/>
      <c r="C4" s="58"/>
      <c r="D4" s="58"/>
      <c r="E4" s="58"/>
      <c r="F4" s="58"/>
      <c r="G4" s="58"/>
      <c r="H4" s="58"/>
      <c r="I4" s="58"/>
      <c r="J4" s="58"/>
      <c r="K4" s="58"/>
      <c r="L4" s="58"/>
      <c r="M4" s="76"/>
      <c r="N4" s="76"/>
      <c r="O4" s="76"/>
      <c r="P4" s="77"/>
    </row>
    <row r="5" spans="1:18" ht="20.7" customHeight="1" x14ac:dyDescent="0.3">
      <c r="A5" s="70" t="s">
        <v>21</v>
      </c>
      <c r="B5" s="71"/>
      <c r="C5" s="71"/>
      <c r="D5" s="71"/>
      <c r="E5" s="71"/>
      <c r="F5" s="71"/>
      <c r="G5" s="71"/>
      <c r="H5" s="71"/>
      <c r="I5" s="71"/>
      <c r="J5" s="71"/>
      <c r="K5" s="71"/>
      <c r="L5" s="71"/>
      <c r="M5" s="71"/>
      <c r="N5" s="71"/>
      <c r="O5" s="71"/>
      <c r="P5" s="72"/>
    </row>
    <row r="6" spans="1:18" s="1" customFormat="1" ht="44.7" customHeight="1" x14ac:dyDescent="0.3">
      <c r="A6" s="73" t="s">
        <v>23</v>
      </c>
      <c r="B6" s="74"/>
      <c r="C6" s="74"/>
      <c r="D6" s="74"/>
      <c r="E6" s="74"/>
      <c r="F6" s="74"/>
      <c r="G6" s="74"/>
      <c r="H6" s="74"/>
      <c r="I6" s="74"/>
      <c r="J6" s="74"/>
      <c r="K6" s="74"/>
      <c r="L6" s="74"/>
      <c r="M6" s="74"/>
      <c r="N6" s="74"/>
      <c r="O6" s="74"/>
      <c r="P6" s="75"/>
      <c r="R6" s="5"/>
    </row>
    <row r="7" spans="1:18" ht="18" x14ac:dyDescent="0.35">
      <c r="A7" s="64" t="s">
        <v>17</v>
      </c>
      <c r="B7" s="65"/>
      <c r="C7" s="65"/>
      <c r="D7" s="65"/>
      <c r="E7" s="65"/>
      <c r="F7" s="65"/>
      <c r="G7" s="65"/>
      <c r="H7" s="65"/>
      <c r="I7" s="65"/>
      <c r="J7" s="65"/>
      <c r="K7" s="65"/>
      <c r="L7" s="65"/>
      <c r="M7" s="65"/>
      <c r="N7" s="65"/>
      <c r="O7" s="65"/>
      <c r="P7" s="66"/>
    </row>
    <row r="8" spans="1:18" ht="11.25" customHeight="1" x14ac:dyDescent="0.3">
      <c r="A8" s="82" t="s">
        <v>0</v>
      </c>
      <c r="B8" s="83"/>
      <c r="C8" s="83"/>
      <c r="D8" s="83"/>
      <c r="E8" s="83"/>
      <c r="F8" s="83"/>
      <c r="G8" s="83"/>
      <c r="H8" s="83"/>
      <c r="I8" s="83"/>
      <c r="J8" s="83"/>
      <c r="K8" s="83"/>
      <c r="L8" s="83"/>
      <c r="M8" s="83"/>
      <c r="N8" s="83"/>
      <c r="O8" s="83"/>
      <c r="P8" s="84"/>
    </row>
    <row r="9" spans="1:18" ht="11.25" customHeight="1" x14ac:dyDescent="0.3">
      <c r="A9" s="82"/>
      <c r="B9" s="83"/>
      <c r="C9" s="83"/>
      <c r="D9" s="83"/>
      <c r="E9" s="83"/>
      <c r="F9" s="83"/>
      <c r="G9" s="83"/>
      <c r="H9" s="83"/>
      <c r="I9" s="83"/>
      <c r="J9" s="83"/>
      <c r="K9" s="83"/>
      <c r="L9" s="83"/>
      <c r="M9" s="83"/>
      <c r="N9" s="83"/>
      <c r="O9" s="83"/>
      <c r="P9" s="84"/>
    </row>
    <row r="10" spans="1:18" x14ac:dyDescent="0.3">
      <c r="A10" s="62" t="s">
        <v>45</v>
      </c>
      <c r="B10" s="63"/>
      <c r="C10" s="63"/>
      <c r="D10" s="63"/>
      <c r="E10" s="63"/>
      <c r="F10" s="63"/>
      <c r="G10" s="63"/>
      <c r="H10" s="63"/>
      <c r="I10" s="60" t="s">
        <v>44</v>
      </c>
      <c r="J10" s="60"/>
      <c r="K10" s="60"/>
      <c r="L10" s="60"/>
      <c r="M10" s="60"/>
      <c r="N10" s="60"/>
      <c r="O10" s="60"/>
      <c r="P10" s="61"/>
    </row>
    <row r="11" spans="1:18" x14ac:dyDescent="0.3">
      <c r="A11" s="62" t="s">
        <v>46</v>
      </c>
      <c r="B11" s="63"/>
      <c r="C11" s="63"/>
      <c r="D11" s="63"/>
      <c r="E11" s="63"/>
      <c r="F11" s="63"/>
      <c r="G11" s="63"/>
      <c r="H11" s="63"/>
      <c r="I11" s="60" t="s">
        <v>48</v>
      </c>
      <c r="J11" s="60"/>
      <c r="K11" s="60"/>
      <c r="L11" s="60"/>
      <c r="M11" s="60"/>
      <c r="N11" s="60"/>
      <c r="O11" s="60"/>
      <c r="P11" s="61"/>
    </row>
    <row r="12" spans="1:18" x14ac:dyDescent="0.3">
      <c r="A12" s="62" t="s">
        <v>1</v>
      </c>
      <c r="B12" s="63"/>
      <c r="C12" s="63"/>
      <c r="D12" s="63"/>
      <c r="E12" s="63"/>
      <c r="F12" s="63"/>
      <c r="G12" s="63"/>
      <c r="H12" s="12" t="s">
        <v>2</v>
      </c>
      <c r="I12" s="60" t="s">
        <v>34</v>
      </c>
      <c r="J12" s="60"/>
      <c r="K12" s="60"/>
      <c r="L12" s="60"/>
      <c r="M12" s="60"/>
      <c r="N12" s="60"/>
      <c r="O12" s="60"/>
      <c r="P12" s="61"/>
    </row>
    <row r="13" spans="1:18" x14ac:dyDescent="0.3">
      <c r="A13" s="62" t="s">
        <v>30</v>
      </c>
      <c r="B13" s="63"/>
      <c r="C13" s="63"/>
      <c r="D13" s="63"/>
      <c r="E13" s="63"/>
      <c r="F13" s="63"/>
      <c r="G13" s="13" t="s">
        <v>3</v>
      </c>
      <c r="H13" s="13">
        <v>27</v>
      </c>
      <c r="I13" s="60" t="s">
        <v>35</v>
      </c>
      <c r="J13" s="60"/>
      <c r="K13" s="60"/>
      <c r="L13" s="60"/>
      <c r="M13" s="60"/>
      <c r="N13" s="60"/>
      <c r="O13" s="60"/>
      <c r="P13" s="61"/>
    </row>
    <row r="14" spans="1:18" x14ac:dyDescent="0.3">
      <c r="A14" s="67" t="s">
        <v>15</v>
      </c>
      <c r="B14" s="60"/>
      <c r="C14" s="55" t="s">
        <v>42</v>
      </c>
      <c r="D14" s="68"/>
      <c r="E14" s="68"/>
      <c r="F14" s="68"/>
      <c r="G14" s="68"/>
      <c r="H14" s="68"/>
      <c r="I14" s="60" t="s">
        <v>16</v>
      </c>
      <c r="J14" s="60"/>
      <c r="K14" s="55" t="s">
        <v>43</v>
      </c>
      <c r="L14" s="68"/>
      <c r="M14" s="68"/>
      <c r="N14" s="68"/>
      <c r="O14" s="68"/>
      <c r="P14" s="69"/>
    </row>
    <row r="15" spans="1:18" x14ac:dyDescent="0.3">
      <c r="A15" s="81" t="s">
        <v>27</v>
      </c>
      <c r="B15" s="68"/>
      <c r="C15" s="68"/>
      <c r="D15" s="68"/>
      <c r="E15" s="68"/>
      <c r="F15" s="68"/>
      <c r="G15" s="68"/>
      <c r="H15" s="68"/>
      <c r="I15" s="68" t="s">
        <v>28</v>
      </c>
      <c r="J15" s="68"/>
      <c r="K15" s="68"/>
      <c r="L15" s="68"/>
      <c r="M15" s="68"/>
      <c r="N15" s="68"/>
      <c r="O15" s="68"/>
      <c r="P15" s="69"/>
    </row>
    <row r="16" spans="1:18" x14ac:dyDescent="0.3">
      <c r="A16" s="67" t="s">
        <v>36</v>
      </c>
      <c r="B16" s="60"/>
      <c r="C16" s="60"/>
      <c r="D16" s="60"/>
      <c r="E16" s="60"/>
      <c r="F16" s="60"/>
      <c r="G16" s="60"/>
      <c r="H16" s="60"/>
      <c r="I16" s="60" t="s">
        <v>36</v>
      </c>
      <c r="J16" s="60"/>
      <c r="K16" s="60"/>
      <c r="L16" s="60"/>
      <c r="M16" s="60"/>
      <c r="N16" s="60"/>
      <c r="O16" s="60"/>
      <c r="P16" s="61"/>
    </row>
    <row r="17" spans="1:16" x14ac:dyDescent="0.3">
      <c r="A17" s="91" t="s">
        <v>37</v>
      </c>
      <c r="B17" s="63"/>
      <c r="C17" s="63"/>
      <c r="D17" s="63"/>
      <c r="E17" s="63"/>
      <c r="F17" s="63"/>
      <c r="G17" s="63"/>
      <c r="H17" s="63"/>
      <c r="I17" s="93" t="s">
        <v>38</v>
      </c>
      <c r="J17" s="63"/>
      <c r="K17" s="63"/>
      <c r="L17" s="63"/>
      <c r="M17" s="63"/>
      <c r="N17" s="63"/>
      <c r="O17" s="63"/>
      <c r="P17" s="92"/>
    </row>
    <row r="18" spans="1:16" x14ac:dyDescent="0.3">
      <c r="A18" s="62"/>
      <c r="B18" s="63"/>
      <c r="C18" s="63"/>
      <c r="D18" s="63"/>
      <c r="E18" s="63"/>
      <c r="F18" s="63"/>
      <c r="G18" s="63"/>
      <c r="H18" s="63"/>
      <c r="I18" s="63"/>
      <c r="J18" s="63"/>
      <c r="K18" s="63"/>
      <c r="L18" s="63"/>
      <c r="M18" s="63"/>
      <c r="N18" s="63"/>
      <c r="O18" s="63"/>
      <c r="P18" s="92"/>
    </row>
    <row r="19" spans="1:16" x14ac:dyDescent="0.3">
      <c r="A19" s="62"/>
      <c r="B19" s="63"/>
      <c r="C19" s="63"/>
      <c r="D19" s="63"/>
      <c r="E19" s="63"/>
      <c r="F19" s="63"/>
      <c r="G19" s="63"/>
      <c r="H19" s="63"/>
      <c r="I19" s="63"/>
      <c r="J19" s="63"/>
      <c r="K19" s="63"/>
      <c r="L19" s="63"/>
      <c r="M19" s="63"/>
      <c r="N19" s="63"/>
      <c r="O19" s="63"/>
      <c r="P19" s="92"/>
    </row>
    <row r="20" spans="1:16" x14ac:dyDescent="0.3">
      <c r="A20" s="62"/>
      <c r="B20" s="63"/>
      <c r="C20" s="63"/>
      <c r="D20" s="63"/>
      <c r="E20" s="63"/>
      <c r="F20" s="63"/>
      <c r="G20" s="63"/>
      <c r="H20" s="63"/>
      <c r="I20" s="63"/>
      <c r="J20" s="63"/>
      <c r="K20" s="63"/>
      <c r="L20" s="63"/>
      <c r="M20" s="63"/>
      <c r="N20" s="63"/>
      <c r="O20" s="63"/>
      <c r="P20" s="92"/>
    </row>
    <row r="21" spans="1:16" x14ac:dyDescent="0.3">
      <c r="A21" s="62"/>
      <c r="B21" s="63"/>
      <c r="C21" s="63"/>
      <c r="D21" s="63"/>
      <c r="E21" s="63"/>
      <c r="F21" s="63"/>
      <c r="G21" s="63"/>
      <c r="H21" s="63"/>
      <c r="I21" s="63"/>
      <c r="J21" s="63"/>
      <c r="K21" s="63"/>
      <c r="L21" s="63"/>
      <c r="M21" s="63"/>
      <c r="N21" s="63"/>
      <c r="O21" s="63"/>
      <c r="P21" s="92"/>
    </row>
    <row r="22" spans="1:16" x14ac:dyDescent="0.3">
      <c r="A22" s="62" t="s">
        <v>39</v>
      </c>
      <c r="B22" s="63"/>
      <c r="C22" s="63"/>
      <c r="D22" s="63"/>
      <c r="E22" s="63"/>
      <c r="F22" s="63"/>
      <c r="G22" s="63"/>
      <c r="H22" s="63"/>
      <c r="I22" s="63" t="s">
        <v>39</v>
      </c>
      <c r="J22" s="63"/>
      <c r="K22" s="63"/>
      <c r="L22" s="63"/>
      <c r="M22" s="63"/>
      <c r="N22" s="63"/>
      <c r="O22" s="63"/>
      <c r="P22" s="92"/>
    </row>
    <row r="23" spans="1:16" x14ac:dyDescent="0.3">
      <c r="A23" s="67" t="s">
        <v>31</v>
      </c>
      <c r="B23" s="60"/>
      <c r="C23" s="60"/>
      <c r="D23" s="60"/>
      <c r="E23" s="60"/>
      <c r="F23" s="60"/>
      <c r="G23" s="13" t="s">
        <v>3</v>
      </c>
      <c r="H23" s="13">
        <v>24</v>
      </c>
      <c r="I23" s="60" t="s">
        <v>32</v>
      </c>
      <c r="J23" s="60"/>
      <c r="K23" s="60"/>
      <c r="L23" s="60"/>
      <c r="M23" s="60"/>
      <c r="N23" s="60"/>
      <c r="O23" s="13" t="s">
        <v>3</v>
      </c>
      <c r="P23" s="14">
        <v>24</v>
      </c>
    </row>
    <row r="24" spans="1:16" ht="15" customHeight="1" x14ac:dyDescent="0.3">
      <c r="A24" s="94" t="s">
        <v>4</v>
      </c>
      <c r="B24" s="97" t="s">
        <v>5</v>
      </c>
      <c r="C24" s="97"/>
      <c r="D24" s="97"/>
      <c r="E24" s="97"/>
      <c r="F24" s="97"/>
      <c r="G24" s="97"/>
      <c r="H24" s="97"/>
      <c r="I24" s="85" t="s">
        <v>13</v>
      </c>
      <c r="J24" s="85"/>
      <c r="K24" s="96" t="s">
        <v>11</v>
      </c>
      <c r="L24" s="95" t="s">
        <v>14</v>
      </c>
      <c r="M24" s="96" t="s">
        <v>19</v>
      </c>
      <c r="N24" s="96"/>
      <c r="O24" s="85" t="s">
        <v>12</v>
      </c>
      <c r="P24" s="86"/>
    </row>
    <row r="25" spans="1:16" ht="15.75" customHeight="1" x14ac:dyDescent="0.3">
      <c r="A25" s="94"/>
      <c r="B25" s="97"/>
      <c r="C25" s="97"/>
      <c r="D25" s="97"/>
      <c r="E25" s="97"/>
      <c r="F25" s="97"/>
      <c r="G25" s="97"/>
      <c r="H25" s="97"/>
      <c r="I25" s="85"/>
      <c r="J25" s="85"/>
      <c r="K25" s="96"/>
      <c r="L25" s="95"/>
      <c r="M25" s="96"/>
      <c r="N25" s="96"/>
      <c r="O25" s="85"/>
      <c r="P25" s="86"/>
    </row>
    <row r="26" spans="1:16" x14ac:dyDescent="0.3">
      <c r="A26" s="10">
        <v>1</v>
      </c>
      <c r="B26" s="78" t="s">
        <v>40</v>
      </c>
      <c r="C26" s="79"/>
      <c r="D26" s="79"/>
      <c r="E26" s="79"/>
      <c r="F26" s="79"/>
      <c r="G26" s="79"/>
      <c r="H26" s="80"/>
      <c r="I26" s="78">
        <v>3907</v>
      </c>
      <c r="J26" s="80"/>
      <c r="K26" s="15">
        <v>400</v>
      </c>
      <c r="L26" s="16" t="s">
        <v>29</v>
      </c>
      <c r="M26" s="87">
        <v>227</v>
      </c>
      <c r="N26" s="88"/>
      <c r="O26" s="89">
        <f>K26*M26</f>
        <v>90800</v>
      </c>
      <c r="P26" s="90"/>
    </row>
    <row r="27" spans="1:16" x14ac:dyDescent="0.3">
      <c r="A27" s="10">
        <v>2</v>
      </c>
      <c r="B27" s="78" t="s">
        <v>41</v>
      </c>
      <c r="C27" s="79"/>
      <c r="D27" s="79"/>
      <c r="E27" s="79"/>
      <c r="F27" s="79"/>
      <c r="G27" s="79"/>
      <c r="H27" s="80"/>
      <c r="I27" s="78">
        <v>3815</v>
      </c>
      <c r="J27" s="80"/>
      <c r="K27" s="15">
        <v>3</v>
      </c>
      <c r="L27" s="16" t="s">
        <v>29</v>
      </c>
      <c r="M27" s="87">
        <v>220</v>
      </c>
      <c r="N27" s="88"/>
      <c r="O27" s="89">
        <f>K27*M27</f>
        <v>660</v>
      </c>
      <c r="P27" s="90"/>
    </row>
    <row r="28" spans="1:16" x14ac:dyDescent="0.3">
      <c r="A28" s="10"/>
      <c r="B28" s="78"/>
      <c r="C28" s="79"/>
      <c r="D28" s="79"/>
      <c r="E28" s="79"/>
      <c r="F28" s="79"/>
      <c r="G28" s="79"/>
      <c r="H28" s="80"/>
      <c r="I28" s="78"/>
      <c r="J28" s="80"/>
      <c r="K28" s="15"/>
      <c r="L28" s="16"/>
      <c r="M28" s="87"/>
      <c r="N28" s="88"/>
      <c r="O28" s="89"/>
      <c r="P28" s="90"/>
    </row>
    <row r="29" spans="1:16" x14ac:dyDescent="0.3">
      <c r="A29" s="10"/>
      <c r="B29" s="78"/>
      <c r="C29" s="79"/>
      <c r="D29" s="79"/>
      <c r="E29" s="79"/>
      <c r="F29" s="79"/>
      <c r="G29" s="79"/>
      <c r="H29" s="80"/>
      <c r="I29" s="78"/>
      <c r="J29" s="80"/>
      <c r="K29" s="15"/>
      <c r="L29" s="16"/>
      <c r="M29" s="87"/>
      <c r="N29" s="88"/>
      <c r="O29" s="89"/>
      <c r="P29" s="90"/>
    </row>
    <row r="30" spans="1:16" x14ac:dyDescent="0.3">
      <c r="A30" s="10"/>
      <c r="B30" s="78"/>
      <c r="C30" s="79"/>
      <c r="D30" s="79"/>
      <c r="E30" s="79"/>
      <c r="F30" s="79"/>
      <c r="G30" s="79"/>
      <c r="H30" s="80"/>
      <c r="I30" s="78"/>
      <c r="J30" s="80"/>
      <c r="K30" s="15"/>
      <c r="L30" s="16"/>
      <c r="M30" s="87"/>
      <c r="N30" s="88"/>
      <c r="O30" s="89"/>
      <c r="P30" s="90"/>
    </row>
    <row r="31" spans="1:16" x14ac:dyDescent="0.3">
      <c r="A31" s="10"/>
      <c r="B31" s="35"/>
      <c r="C31" s="50"/>
      <c r="D31" s="50"/>
      <c r="E31" s="50"/>
      <c r="F31" s="50"/>
      <c r="G31" s="50"/>
      <c r="H31" s="51"/>
      <c r="I31" s="35"/>
      <c r="J31" s="37"/>
      <c r="K31" s="3"/>
      <c r="L31" s="3"/>
      <c r="M31" s="35"/>
      <c r="N31" s="37"/>
      <c r="O31" s="35"/>
      <c r="P31" s="38"/>
    </row>
    <row r="32" spans="1:16" x14ac:dyDescent="0.3">
      <c r="A32" s="10"/>
      <c r="B32" s="35"/>
      <c r="C32" s="50"/>
      <c r="D32" s="50"/>
      <c r="E32" s="50"/>
      <c r="F32" s="50"/>
      <c r="G32" s="50"/>
      <c r="H32" s="51"/>
      <c r="I32" s="35"/>
      <c r="J32" s="37"/>
      <c r="K32" s="3"/>
      <c r="L32" s="3"/>
      <c r="M32" s="35"/>
      <c r="N32" s="37"/>
      <c r="O32" s="35"/>
      <c r="P32" s="38"/>
    </row>
    <row r="33" spans="1:16" x14ac:dyDescent="0.3">
      <c r="A33" s="10"/>
      <c r="B33" s="35"/>
      <c r="C33" s="36"/>
      <c r="D33" s="36"/>
      <c r="E33" s="36"/>
      <c r="F33" s="36"/>
      <c r="G33" s="36"/>
      <c r="H33" s="37"/>
      <c r="I33" s="35"/>
      <c r="J33" s="37"/>
      <c r="K33" s="3"/>
      <c r="L33" s="3"/>
      <c r="M33" s="35"/>
      <c r="N33" s="37"/>
      <c r="O33" s="35"/>
      <c r="P33" s="38"/>
    </row>
    <row r="34" spans="1:16" x14ac:dyDescent="0.3">
      <c r="A34" s="10"/>
      <c r="B34" s="35"/>
      <c r="C34" s="36"/>
      <c r="D34" s="36"/>
      <c r="E34" s="36"/>
      <c r="F34" s="36"/>
      <c r="G34" s="36"/>
      <c r="H34" s="37"/>
      <c r="I34" s="35"/>
      <c r="J34" s="37"/>
      <c r="K34" s="3"/>
      <c r="L34" s="3"/>
      <c r="M34" s="35"/>
      <c r="N34" s="37"/>
      <c r="O34" s="35"/>
      <c r="P34" s="38"/>
    </row>
    <row r="35" spans="1:16" x14ac:dyDescent="0.3">
      <c r="A35" s="10"/>
      <c r="B35" s="35"/>
      <c r="C35" s="36"/>
      <c r="D35" s="36"/>
      <c r="E35" s="36"/>
      <c r="F35" s="36"/>
      <c r="G35" s="36"/>
      <c r="H35" s="37"/>
      <c r="I35" s="35"/>
      <c r="J35" s="37"/>
      <c r="K35" s="3"/>
      <c r="L35" s="3"/>
      <c r="M35" s="35"/>
      <c r="N35" s="37"/>
      <c r="O35" s="35"/>
      <c r="P35" s="38"/>
    </row>
    <row r="36" spans="1:16" x14ac:dyDescent="0.3">
      <c r="A36" s="10"/>
      <c r="B36" s="35"/>
      <c r="C36" s="50"/>
      <c r="D36" s="50"/>
      <c r="E36" s="50"/>
      <c r="F36" s="50"/>
      <c r="G36" s="50"/>
      <c r="H36" s="51"/>
      <c r="I36" s="35"/>
      <c r="J36" s="37"/>
      <c r="K36" s="3"/>
      <c r="L36" s="3"/>
      <c r="M36" s="35"/>
      <c r="N36" s="37"/>
      <c r="O36" s="35"/>
      <c r="P36" s="38"/>
    </row>
    <row r="37" spans="1:16" x14ac:dyDescent="0.3">
      <c r="A37" s="10"/>
      <c r="B37" s="35"/>
      <c r="C37" s="50"/>
      <c r="D37" s="50"/>
      <c r="E37" s="50"/>
      <c r="F37" s="50"/>
      <c r="G37" s="50"/>
      <c r="H37" s="51"/>
      <c r="I37" s="35"/>
      <c r="J37" s="37"/>
      <c r="K37" s="3"/>
      <c r="L37" s="3"/>
      <c r="M37" s="35"/>
      <c r="N37" s="37"/>
      <c r="O37" s="35"/>
      <c r="P37" s="38"/>
    </row>
    <row r="38" spans="1:16" x14ac:dyDescent="0.3">
      <c r="A38" s="10"/>
      <c r="B38" s="35"/>
      <c r="C38" s="50"/>
      <c r="D38" s="50"/>
      <c r="E38" s="50"/>
      <c r="F38" s="50"/>
      <c r="G38" s="50"/>
      <c r="H38" s="51"/>
      <c r="I38" s="35"/>
      <c r="J38" s="37"/>
      <c r="K38" s="3"/>
      <c r="L38" s="3"/>
      <c r="M38" s="35"/>
      <c r="N38" s="37"/>
      <c r="O38" s="35"/>
      <c r="P38" s="38"/>
    </row>
    <row r="39" spans="1:16" x14ac:dyDescent="0.3">
      <c r="A39" s="10"/>
      <c r="B39" s="35"/>
      <c r="C39" s="50"/>
      <c r="D39" s="50"/>
      <c r="E39" s="50"/>
      <c r="F39" s="50"/>
      <c r="G39" s="50"/>
      <c r="H39" s="51"/>
      <c r="I39" s="35"/>
      <c r="J39" s="37"/>
      <c r="K39" s="3"/>
      <c r="L39" s="3"/>
      <c r="M39" s="35"/>
      <c r="N39" s="37"/>
      <c r="O39" s="98"/>
      <c r="P39" s="99"/>
    </row>
    <row r="40" spans="1:16" x14ac:dyDescent="0.3">
      <c r="A40" s="4"/>
      <c r="B40" s="48"/>
      <c r="C40" s="49"/>
      <c r="D40" s="49"/>
      <c r="E40" s="49"/>
      <c r="F40" s="49"/>
      <c r="G40" s="49"/>
      <c r="H40" s="49"/>
      <c r="I40" s="141" t="s">
        <v>33</v>
      </c>
      <c r="J40" s="141"/>
      <c r="K40" s="141"/>
      <c r="L40" s="141"/>
      <c r="M40" s="54"/>
      <c r="N40" s="55"/>
      <c r="O40" s="139"/>
      <c r="P40" s="140"/>
    </row>
    <row r="41" spans="1:16" x14ac:dyDescent="0.3">
      <c r="A41" s="20" t="s">
        <v>47</v>
      </c>
      <c r="B41" s="21"/>
      <c r="C41" s="21"/>
      <c r="D41" s="21"/>
      <c r="E41" s="21"/>
      <c r="F41" s="21"/>
      <c r="G41" s="21"/>
      <c r="H41" s="21"/>
      <c r="I41" s="22"/>
      <c r="J41" s="17" t="s">
        <v>18</v>
      </c>
      <c r="K41" s="18"/>
      <c r="L41" s="18"/>
      <c r="M41" s="18"/>
      <c r="N41" s="19"/>
      <c r="O41" s="39">
        <f>SUM(O26:O40)</f>
        <v>91460</v>
      </c>
      <c r="P41" s="40"/>
    </row>
    <row r="42" spans="1:16" ht="14.7" customHeight="1" x14ac:dyDescent="0.3">
      <c r="A42" s="23"/>
      <c r="B42" s="24"/>
      <c r="C42" s="24"/>
      <c r="D42" s="24"/>
      <c r="E42" s="24"/>
      <c r="F42" s="24"/>
      <c r="G42" s="24"/>
      <c r="H42" s="24"/>
      <c r="I42" s="25"/>
      <c r="J42" s="43" t="s">
        <v>22</v>
      </c>
      <c r="K42" s="44"/>
      <c r="L42" s="44"/>
      <c r="M42" s="41">
        <v>0.18</v>
      </c>
      <c r="N42" s="42"/>
      <c r="O42" s="39">
        <f>O41*M42</f>
        <v>16462.8</v>
      </c>
      <c r="P42" s="40"/>
    </row>
    <row r="43" spans="1:16" x14ac:dyDescent="0.3">
      <c r="A43" s="26"/>
      <c r="B43" s="27"/>
      <c r="C43" s="27"/>
      <c r="D43" s="27"/>
      <c r="E43" s="27"/>
      <c r="F43" s="27"/>
      <c r="G43" s="27"/>
      <c r="H43" s="27"/>
      <c r="I43" s="28"/>
      <c r="J43" s="52" t="s">
        <v>6</v>
      </c>
      <c r="K43" s="52"/>
      <c r="L43" s="52"/>
      <c r="M43" s="52"/>
      <c r="N43" s="52"/>
      <c r="O43" s="46">
        <f>O41+O42</f>
        <v>107922.8</v>
      </c>
      <c r="P43" s="53"/>
    </row>
    <row r="44" spans="1:16" x14ac:dyDescent="0.3">
      <c r="A44" s="109" t="s">
        <v>26</v>
      </c>
      <c r="B44" s="110"/>
      <c r="C44" s="110"/>
      <c r="D44" s="110"/>
      <c r="E44" s="110"/>
      <c r="F44" s="110"/>
      <c r="G44" s="110"/>
      <c r="H44" s="110"/>
      <c r="I44" s="111"/>
      <c r="J44" s="45" t="s">
        <v>7</v>
      </c>
      <c r="K44" s="45"/>
      <c r="L44" s="45"/>
      <c r="M44" s="45"/>
      <c r="N44" s="45"/>
      <c r="O44" s="46">
        <v>0</v>
      </c>
      <c r="P44" s="47"/>
    </row>
    <row r="45" spans="1:16" x14ac:dyDescent="0.3">
      <c r="A45" s="112"/>
      <c r="B45" s="113"/>
      <c r="C45" s="113"/>
      <c r="D45" s="113"/>
      <c r="E45" s="113"/>
      <c r="F45" s="113"/>
      <c r="G45" s="113"/>
      <c r="H45" s="113"/>
      <c r="I45" s="114"/>
      <c r="J45" s="29" t="s">
        <v>8</v>
      </c>
      <c r="K45" s="30"/>
      <c r="L45" s="30"/>
      <c r="M45" s="30"/>
      <c r="N45" s="30"/>
      <c r="O45" s="30"/>
      <c r="P45" s="31"/>
    </row>
    <row r="46" spans="1:16" ht="18.75" customHeight="1" x14ac:dyDescent="0.3">
      <c r="A46" s="115"/>
      <c r="B46" s="116"/>
      <c r="C46" s="116"/>
      <c r="D46" s="116"/>
      <c r="E46" s="116"/>
      <c r="F46" s="116"/>
      <c r="G46" s="116"/>
      <c r="H46" s="116"/>
      <c r="I46" s="117"/>
      <c r="J46" s="32"/>
      <c r="K46" s="33"/>
      <c r="L46" s="33"/>
      <c r="M46" s="33"/>
      <c r="N46" s="33"/>
      <c r="O46" s="33"/>
      <c r="P46" s="34"/>
    </row>
    <row r="47" spans="1:16" ht="15" customHeight="1" x14ac:dyDescent="0.3">
      <c r="A47" s="124" t="s">
        <v>24</v>
      </c>
      <c r="B47" s="125"/>
      <c r="C47" s="125"/>
      <c r="D47" s="125"/>
      <c r="E47" s="125"/>
      <c r="F47" s="126"/>
      <c r="G47" s="133"/>
      <c r="H47" s="133"/>
      <c r="I47" s="134"/>
      <c r="J47" s="100" t="s">
        <v>25</v>
      </c>
      <c r="K47" s="101"/>
      <c r="L47" s="101"/>
      <c r="M47" s="101"/>
      <c r="N47" s="101"/>
      <c r="O47" s="101"/>
      <c r="P47" s="102"/>
    </row>
    <row r="48" spans="1:16" ht="15" customHeight="1" x14ac:dyDescent="0.3">
      <c r="A48" s="127"/>
      <c r="B48" s="128"/>
      <c r="C48" s="128"/>
      <c r="D48" s="128"/>
      <c r="E48" s="128"/>
      <c r="F48" s="129"/>
      <c r="G48" s="135"/>
      <c r="H48" s="135"/>
      <c r="I48" s="136"/>
      <c r="J48" s="103"/>
      <c r="K48" s="104"/>
      <c r="L48" s="104"/>
      <c r="M48" s="104"/>
      <c r="N48" s="104"/>
      <c r="O48" s="104"/>
      <c r="P48" s="105"/>
    </row>
    <row r="49" spans="1:16" ht="14.7" customHeight="1" x14ac:dyDescent="0.3">
      <c r="A49" s="127"/>
      <c r="B49" s="128"/>
      <c r="C49" s="128"/>
      <c r="D49" s="128"/>
      <c r="E49" s="128"/>
      <c r="F49" s="129"/>
      <c r="G49" s="135"/>
      <c r="H49" s="135"/>
      <c r="I49" s="136"/>
      <c r="J49" s="103"/>
      <c r="K49" s="104"/>
      <c r="L49" s="104"/>
      <c r="M49" s="104"/>
      <c r="N49" s="104"/>
      <c r="O49" s="104"/>
      <c r="P49" s="105"/>
    </row>
    <row r="50" spans="1:16" ht="14.7" customHeight="1" x14ac:dyDescent="0.3">
      <c r="A50" s="127"/>
      <c r="B50" s="128"/>
      <c r="C50" s="128"/>
      <c r="D50" s="128"/>
      <c r="E50" s="128"/>
      <c r="F50" s="129"/>
      <c r="G50" s="135"/>
      <c r="H50" s="135"/>
      <c r="I50" s="136"/>
      <c r="J50" s="103"/>
      <c r="K50" s="104"/>
      <c r="L50" s="104"/>
      <c r="M50" s="104"/>
      <c r="N50" s="104"/>
      <c r="O50" s="104"/>
      <c r="P50" s="105"/>
    </row>
    <row r="51" spans="1:16" ht="14.7" customHeight="1" x14ac:dyDescent="0.3">
      <c r="A51" s="127"/>
      <c r="B51" s="128"/>
      <c r="C51" s="128"/>
      <c r="D51" s="128"/>
      <c r="E51" s="128"/>
      <c r="F51" s="129"/>
      <c r="G51" s="135"/>
      <c r="H51" s="135"/>
      <c r="I51" s="136"/>
      <c r="J51" s="103"/>
      <c r="K51" s="104"/>
      <c r="L51" s="104"/>
      <c r="M51" s="104"/>
      <c r="N51" s="104"/>
      <c r="O51" s="104"/>
      <c r="P51" s="105"/>
    </row>
    <row r="52" spans="1:16" ht="15" customHeight="1" thickBot="1" x14ac:dyDescent="0.35">
      <c r="A52" s="130"/>
      <c r="B52" s="131"/>
      <c r="C52" s="131"/>
      <c r="D52" s="131"/>
      <c r="E52" s="131"/>
      <c r="F52" s="132"/>
      <c r="G52" s="137"/>
      <c r="H52" s="137"/>
      <c r="I52" s="138"/>
      <c r="J52" s="106"/>
      <c r="K52" s="107"/>
      <c r="L52" s="107"/>
      <c r="M52" s="107"/>
      <c r="N52" s="107"/>
      <c r="O52" s="107"/>
      <c r="P52" s="108"/>
    </row>
  </sheetData>
  <mergeCells count="113">
    <mergeCell ref="J47:P52"/>
    <mergeCell ref="A44:I46"/>
    <mergeCell ref="N1:P1"/>
    <mergeCell ref="N2:P2"/>
    <mergeCell ref="N3:P3"/>
    <mergeCell ref="I35:J35"/>
    <mergeCell ref="A47:F52"/>
    <mergeCell ref="G47:I52"/>
    <mergeCell ref="I27:J27"/>
    <mergeCell ref="I28:J28"/>
    <mergeCell ref="I29:J29"/>
    <mergeCell ref="I31:J31"/>
    <mergeCell ref="I32:J32"/>
    <mergeCell ref="I36:J36"/>
    <mergeCell ref="I37:J37"/>
    <mergeCell ref="B28:H28"/>
    <mergeCell ref="B29:H29"/>
    <mergeCell ref="B31:H31"/>
    <mergeCell ref="O40:P40"/>
    <mergeCell ref="I40:L40"/>
    <mergeCell ref="O27:P27"/>
    <mergeCell ref="O36:P36"/>
    <mergeCell ref="O37:P37"/>
    <mergeCell ref="M36:N36"/>
    <mergeCell ref="M37:N37"/>
    <mergeCell ref="M29:N29"/>
    <mergeCell ref="O32:P32"/>
    <mergeCell ref="M35:N35"/>
    <mergeCell ref="I30:J30"/>
    <mergeCell ref="O30:P30"/>
    <mergeCell ref="M30:N30"/>
    <mergeCell ref="I38:J38"/>
    <mergeCell ref="I39:J39"/>
    <mergeCell ref="M38:N38"/>
    <mergeCell ref="O38:P38"/>
    <mergeCell ref="M39:N39"/>
    <mergeCell ref="O39:P39"/>
    <mergeCell ref="A24:A25"/>
    <mergeCell ref="L24:L25"/>
    <mergeCell ref="M24:N25"/>
    <mergeCell ref="B24:H25"/>
    <mergeCell ref="I24:J25"/>
    <mergeCell ref="K24:K25"/>
    <mergeCell ref="B26:H26"/>
    <mergeCell ref="I26:J26"/>
    <mergeCell ref="M32:N32"/>
    <mergeCell ref="B32:H32"/>
    <mergeCell ref="M27:N27"/>
    <mergeCell ref="B30:H30"/>
    <mergeCell ref="B36:H36"/>
    <mergeCell ref="B37:H37"/>
    <mergeCell ref="B27:H27"/>
    <mergeCell ref="A15:H15"/>
    <mergeCell ref="A16:H16"/>
    <mergeCell ref="A8:P9"/>
    <mergeCell ref="A10:H10"/>
    <mergeCell ref="I16:P16"/>
    <mergeCell ref="I15:P15"/>
    <mergeCell ref="A22:H22"/>
    <mergeCell ref="O24:P25"/>
    <mergeCell ref="M26:N26"/>
    <mergeCell ref="O26:P26"/>
    <mergeCell ref="A17:H21"/>
    <mergeCell ref="A23:F23"/>
    <mergeCell ref="I23:N23"/>
    <mergeCell ref="I22:P22"/>
    <mergeCell ref="I17:P21"/>
    <mergeCell ref="O35:P35"/>
    <mergeCell ref="O29:P29"/>
    <mergeCell ref="M28:N28"/>
    <mergeCell ref="O28:P28"/>
    <mergeCell ref="M31:N31"/>
    <mergeCell ref="O31:P31"/>
    <mergeCell ref="C1:L4"/>
    <mergeCell ref="I10:P10"/>
    <mergeCell ref="A11:H11"/>
    <mergeCell ref="I11:P11"/>
    <mergeCell ref="A12:G12"/>
    <mergeCell ref="I12:P12"/>
    <mergeCell ref="A7:P7"/>
    <mergeCell ref="A14:B14"/>
    <mergeCell ref="C14:H14"/>
    <mergeCell ref="I14:J14"/>
    <mergeCell ref="K14:P14"/>
    <mergeCell ref="A5:P5"/>
    <mergeCell ref="A6:P6"/>
    <mergeCell ref="M4:P4"/>
    <mergeCell ref="A13:F13"/>
    <mergeCell ref="I13:P13"/>
    <mergeCell ref="J41:N41"/>
    <mergeCell ref="A41:I43"/>
    <mergeCell ref="J45:P46"/>
    <mergeCell ref="B33:H33"/>
    <mergeCell ref="B34:H34"/>
    <mergeCell ref="I33:J33"/>
    <mergeCell ref="I34:J34"/>
    <mergeCell ref="M33:N33"/>
    <mergeCell ref="M34:N34"/>
    <mergeCell ref="O33:P33"/>
    <mergeCell ref="O34:P34"/>
    <mergeCell ref="O42:P42"/>
    <mergeCell ref="M42:N42"/>
    <mergeCell ref="J42:L42"/>
    <mergeCell ref="O41:P41"/>
    <mergeCell ref="J44:N44"/>
    <mergeCell ref="O44:P44"/>
    <mergeCell ref="B40:H40"/>
    <mergeCell ref="B35:H35"/>
    <mergeCell ref="B38:H38"/>
    <mergeCell ref="B39:H39"/>
    <mergeCell ref="J43:N43"/>
    <mergeCell ref="O43:P43"/>
    <mergeCell ref="M40:N40"/>
  </mergeCells>
  <pageMargins left="0.21" right="0.18" top="0.28999999999999998" bottom="0.18" header="0.3" footer="0.3"/>
  <pageSetup paperSize="9" fitToWidth="0" pageOrder="overThenDown"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Tax Invoice - Intra State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Kumar Chippa</cp:lastModifiedBy>
  <cp:lastPrinted>2026-01-01T10:43:17Z</cp:lastPrinted>
  <dcterms:created xsi:type="dcterms:W3CDTF">2017-06-22T18:14:43Z</dcterms:created>
  <dcterms:modified xsi:type="dcterms:W3CDTF">2026-03-11T07:00:19Z</dcterms:modified>
</cp:coreProperties>
</file>