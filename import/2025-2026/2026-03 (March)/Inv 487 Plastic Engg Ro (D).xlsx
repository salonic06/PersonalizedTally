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s="1"/>
  <c r="O40" i="1" l="1"/>
  <c r="O41" i="1" l="1"/>
  <c r="O42" i="1" s="1"/>
  <c r="O43" i="1" s="1"/>
</calcChain>
</file>

<file path=xl/sharedStrings.xml><?xml version="1.0" encoding="utf-8"?>
<sst xmlns="http://schemas.openxmlformats.org/spreadsheetml/2006/main" count="56" uniqueCount="51">
  <si>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</si>
  <si>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</si>
  <si>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</si>
  <si>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</si>
  <si>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</si>
  <si>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</si>
  <si>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</si>
  <si>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</si>
  <si>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</si>
  <si>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</si>
  <si>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</si>
  <si>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</si>
  <si>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</si>
  <si>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</si>
  <si>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</si>
  <si>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</si>
  <si>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</si>
  <si>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</si>
  <si>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</si>
  <si>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</si>
  <si>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</si>
  <si>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</si>
  <si>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</si>
  <si>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</si>
  <si>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</si>
  <si>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</si>
  <si>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</si>
  <si>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</si>
  <si>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</si>
  <si>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</si>
  <si>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</si>
  <si>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</si>
  <si>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</si>
  <si>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</si>
  <si>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t>Telephonic</t>
  </si>
  <si>
    <r>
      <t xml:space="preserve">State: </t>
    </r>
    <r>
      <rPr>
        <sz val="11"/>
        <color theme="1"/>
        <rFont val="Calibri"/>
        <family val="2"/>
        <scheme val="minor"/>
      </rPr>
      <t>Maharashtra</t>
    </r>
  </si>
  <si>
    <r>
      <t>Address:</t>
    </r>
    <r>
      <rPr>
        <sz val="11"/>
        <color theme="1"/>
        <rFont val="Calibri"/>
        <family val="2"/>
        <scheme val="minor"/>
      </rPr>
      <t xml:space="preserve"> At Ambewadi, Post Kolad,
Tal-Roha, District-Raigad,
Pin-402304</t>
    </r>
  </si>
  <si>
    <r>
      <t xml:space="preserve">Address: </t>
    </r>
    <r>
      <rPr>
        <sz val="11"/>
        <color theme="1"/>
        <rFont val="Calibri"/>
        <family val="2"/>
        <scheme val="minor"/>
      </rPr>
      <t>At Ambewadi, Post Kolad,
Tal-Roha, District-Raigad,
Pin-402304
Mob: 9922927922 / 7030974126</t>
    </r>
  </si>
  <si>
    <t>Name: Plastic Enginnering Works</t>
  </si>
  <si>
    <t>Name:  Plastic Enginnering Works</t>
  </si>
  <si>
    <r>
      <t xml:space="preserve">GSTIN: </t>
    </r>
    <r>
      <rPr>
        <sz val="11"/>
        <color theme="1"/>
        <rFont val="Calibri"/>
        <family val="2"/>
        <scheme val="minor"/>
      </rPr>
      <t>27BTAPP3888B1ZK</t>
    </r>
  </si>
  <si>
    <r>
      <t>Payment Terms :</t>
    </r>
    <r>
      <rPr>
        <sz val="11"/>
        <color theme="1"/>
        <rFont val="Calibri"/>
        <family val="2"/>
        <scheme val="minor"/>
      </rPr>
      <t xml:space="preserve"> Immediate</t>
    </r>
  </si>
  <si>
    <t xml:space="preserve">Lampol-710 </t>
  </si>
  <si>
    <r>
      <t>Transport Mode:</t>
    </r>
    <r>
      <rPr>
        <sz val="11"/>
        <color theme="1"/>
        <rFont val="Calibri"/>
        <family val="2"/>
        <scheme val="minor"/>
      </rPr>
      <t xml:space="preserve"> J K Roadways., To pay, Door delivery</t>
    </r>
  </si>
  <si>
    <r>
      <t xml:space="preserve">Place of Supply : </t>
    </r>
    <r>
      <rPr>
        <sz val="11"/>
        <color theme="1"/>
        <rFont val="Calibri"/>
        <family val="2"/>
        <scheme val="minor"/>
      </rPr>
      <t>Door delivery</t>
    </r>
  </si>
  <si>
    <t xml:space="preserve"> </t>
  </si>
  <si>
    <t>Tax Invoice No.: 487</t>
  </si>
  <si>
    <r>
      <t xml:space="preserve">Tax Invoice Dt.: </t>
    </r>
    <r>
      <rPr>
        <sz val="11"/>
        <color theme="1"/>
        <rFont val="Calibri"/>
        <family val="2"/>
        <scheme val="minor"/>
      </rPr>
      <t>30.03.2026</t>
    </r>
  </si>
  <si>
    <t>Packing : 230 kg x 5 drm, 50 Kg x 3 can</t>
  </si>
  <si>
    <r>
      <t xml:space="preserve">Total Amount in Words :                                                           </t>
    </r>
    <r>
      <rPr>
        <sz val="11"/>
        <color theme="1"/>
        <rFont val="Arial"/>
        <family val="2"/>
      </rPr>
      <t>Rs. Two Lakh Forty Two Thousand Three Hundred &amp; Seventy Two Only</t>
    </r>
    <r>
      <rPr>
        <b/>
        <sz val="11"/>
        <color theme="1"/>
        <rFont val="Arial"/>
        <family val="2"/>
      </rPr>
      <t xml:space="preserve">
</t>
    </r>
  </si>
  <si>
    <r>
      <t>Eway Bill No.:</t>
    </r>
    <r>
      <rPr>
        <sz val="11"/>
        <color theme="1"/>
        <rFont val="Calibri"/>
        <family val="2"/>
        <scheme val="minor"/>
      </rPr>
      <t xml:space="preserve">  2221 7167 5609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</si>
</sst>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14" fontId="0" fillId="0" borderId="9" xfId="0" applyNumberForma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49" fontId="0" fillId="0" borderId="11" xfId="0" applyNumberFormat="1" applyBorder="1" applyAlignment="1">
      <alignment horizontal="center"/>
    </xf>
    <xf numFmtId="49" fontId="0" fillId="0" borderId="13" xfId="0" applyNumberFormat="1" applyBorder="1" applyAlignment="1">
      <alignment horizont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24"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applyAlignment="1">
      <alignment horizontal="left"/>
    </xf>
    <xf numFmtId="0" fontId="0" fillId="0" borderId="0" xfId="0" applyAlignment="1">
      <alignment horizontal="center"/>
    </xf>
    <xf numFmtId="0" fontId="0" fillId="0" borderId="0" xfId="0"/>
    <xf numFmtId="0" fontId="0" fillId="0" borderId="13" xfId="0" applyBorder="1"/>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4" xfId="0" applyBorder="1" applyAlignment="1">
      <alignment horizontal="right"/>
    </xf>
    <xf numFmtId="0" fontId="0" fillId="0" borderId="15" xfId="0" applyBorder="1" applyAlignment="1">
      <alignment horizontal="right"/>
    </xf>
    <xf numFmtId="0" fontId="0" fillId="0" borderId="1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5" workbookViewId="0">
      <selection activeCell="B25" sqref="B25:H25"/>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2"/>
      <c r="D1" s="62"/>
      <c r="E1" s="62"/>
      <c r="F1" s="62"/>
      <c r="G1" s="62"/>
      <c r="H1" s="62"/>
      <c r="I1" s="62"/>
      <c r="J1" s="62"/>
      <c r="K1" s="62"/>
      <c r="L1" s="63"/>
      <c r="M1" s="9"/>
      <c r="N1" s="42" t="s">
        <v>10</v>
      </c>
      <c r="O1" s="43"/>
      <c r="P1" s="44"/>
    </row>
    <row r="2" spans="1:18" ht="12.6" customHeight="1" x14ac:dyDescent="0.3">
      <c r="A2" s="8"/>
      <c r="C2" s="64"/>
      <c r="D2" s="64"/>
      <c r="E2" s="64"/>
      <c r="F2" s="64"/>
      <c r="G2" s="64"/>
      <c r="H2" s="64"/>
      <c r="I2" s="64"/>
      <c r="J2" s="64"/>
      <c r="K2" s="64"/>
      <c r="L2" s="65"/>
      <c r="M2" s="2"/>
      <c r="N2" s="45" t="s">
        <v>11</v>
      </c>
      <c r="O2" s="46"/>
      <c r="P2" s="47"/>
    </row>
    <row r="3" spans="1:18" ht="12" customHeight="1" x14ac:dyDescent="0.3">
      <c r="A3" s="8"/>
      <c r="C3" s="64"/>
      <c r="D3" s="64"/>
      <c r="E3" s="64"/>
      <c r="F3" s="64"/>
      <c r="G3" s="64"/>
      <c r="H3" s="64"/>
      <c r="I3" s="64"/>
      <c r="J3" s="64"/>
      <c r="K3" s="64"/>
      <c r="L3" s="65"/>
      <c r="M3" s="11"/>
      <c r="N3" s="45" t="s">
        <v>21</v>
      </c>
      <c r="O3" s="46"/>
      <c r="P3" s="47"/>
    </row>
    <row r="4" spans="1:18" ht="18.600000000000001" customHeight="1" x14ac:dyDescent="0.3">
      <c r="A4" s="8"/>
      <c r="C4" s="64"/>
      <c r="D4" s="64"/>
      <c r="E4" s="64"/>
      <c r="F4" s="64"/>
      <c r="G4" s="64"/>
      <c r="H4" s="64"/>
      <c r="I4" s="64"/>
      <c r="J4" s="64"/>
      <c r="K4" s="64"/>
      <c r="L4" s="64"/>
      <c r="M4" s="56"/>
      <c r="N4" s="56"/>
      <c r="O4" s="56"/>
      <c r="P4" s="57"/>
    </row>
    <row r="5" spans="1:18" ht="20.7" customHeight="1" x14ac:dyDescent="0.3">
      <c r="A5" s="69" t="s">
        <v>22</v>
      </c>
      <c r="B5" s="70"/>
      <c r="C5" s="70"/>
      <c r="D5" s="70"/>
      <c r="E5" s="70"/>
      <c r="F5" s="70"/>
      <c r="G5" s="70"/>
      <c r="H5" s="70"/>
      <c r="I5" s="70"/>
      <c r="J5" s="70"/>
      <c r="K5" s="70"/>
      <c r="L5" s="70"/>
      <c r="M5" s="70"/>
      <c r="N5" s="70"/>
      <c r="O5" s="70"/>
      <c r="P5" s="71"/>
    </row>
    <row r="6" spans="1:18" s="1" customFormat="1" ht="44.7" customHeight="1" x14ac:dyDescent="0.3">
      <c r="A6" s="72" t="s">
        <v>23</v>
      </c>
      <c r="B6" s="73"/>
      <c r="C6" s="73"/>
      <c r="D6" s="73"/>
      <c r="E6" s="73"/>
      <c r="F6" s="73"/>
      <c r="G6" s="73"/>
      <c r="H6" s="73"/>
      <c r="I6" s="73"/>
      <c r="J6" s="73"/>
      <c r="K6" s="73"/>
      <c r="L6" s="73"/>
      <c r="M6" s="73"/>
      <c r="N6" s="73"/>
      <c r="O6" s="73"/>
      <c r="P6" s="74"/>
      <c r="R6" s="5"/>
    </row>
    <row r="7" spans="1:18" ht="18" x14ac:dyDescent="0.35">
      <c r="A7" s="66" t="s">
        <v>18</v>
      </c>
      <c r="B7" s="67"/>
      <c r="C7" s="67"/>
      <c r="D7" s="67"/>
      <c r="E7" s="67"/>
      <c r="F7" s="67"/>
      <c r="G7" s="67"/>
      <c r="H7" s="67"/>
      <c r="I7" s="67"/>
      <c r="J7" s="67"/>
      <c r="K7" s="67"/>
      <c r="L7" s="67"/>
      <c r="M7" s="67"/>
      <c r="N7" s="67"/>
      <c r="O7" s="67"/>
      <c r="P7" s="68"/>
    </row>
    <row r="8" spans="1:18" ht="11.25" customHeight="1" x14ac:dyDescent="0.3">
      <c r="A8" s="26" t="s">
        <v>0</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46</v>
      </c>
      <c r="B10" s="22"/>
      <c r="C10" s="22"/>
      <c r="D10" s="22"/>
      <c r="E10" s="22"/>
      <c r="F10" s="22"/>
      <c r="G10" s="22"/>
      <c r="H10" s="22"/>
      <c r="I10" s="24" t="s">
        <v>43</v>
      </c>
      <c r="J10" s="24"/>
      <c r="K10" s="24"/>
      <c r="L10" s="24"/>
      <c r="M10" s="24"/>
      <c r="N10" s="24"/>
      <c r="O10" s="24"/>
      <c r="P10" s="29"/>
    </row>
    <row r="11" spans="1:18" x14ac:dyDescent="0.3">
      <c r="A11" s="21" t="s">
        <v>47</v>
      </c>
      <c r="B11" s="22"/>
      <c r="C11" s="22"/>
      <c r="D11" s="22"/>
      <c r="E11" s="22"/>
      <c r="F11" s="22"/>
      <c r="G11" s="22"/>
      <c r="H11" s="22"/>
      <c r="I11" s="24" t="s">
        <v>50</v>
      </c>
      <c r="J11" s="24"/>
      <c r="K11" s="24"/>
      <c r="L11" s="24"/>
      <c r="M11" s="24"/>
      <c r="N11" s="24"/>
      <c r="O11" s="24"/>
      <c r="P11" s="29"/>
    </row>
    <row r="12" spans="1:18" x14ac:dyDescent="0.3">
      <c r="A12" s="21" t="s">
        <v>1</v>
      </c>
      <c r="B12" s="22"/>
      <c r="C12" s="22"/>
      <c r="D12" s="22"/>
      <c r="E12" s="22"/>
      <c r="F12" s="22"/>
      <c r="G12" s="22"/>
      <c r="H12" s="16" t="s">
        <v>2</v>
      </c>
      <c r="I12" s="24" t="s">
        <v>41</v>
      </c>
      <c r="J12" s="24"/>
      <c r="K12" s="24"/>
      <c r="L12" s="24"/>
      <c r="M12" s="24"/>
      <c r="N12" s="24"/>
      <c r="O12" s="24"/>
      <c r="P12" s="29"/>
    </row>
    <row r="13" spans="1:18" x14ac:dyDescent="0.3">
      <c r="A13" s="21" t="s">
        <v>35</v>
      </c>
      <c r="B13" s="22"/>
      <c r="C13" s="22"/>
      <c r="D13" s="22"/>
      <c r="E13" s="22"/>
      <c r="F13" s="22"/>
      <c r="G13" s="12" t="s">
        <v>3</v>
      </c>
      <c r="H13" s="12">
        <v>27</v>
      </c>
      <c r="I13" s="24" t="s">
        <v>44</v>
      </c>
      <c r="J13" s="24"/>
      <c r="K13" s="24"/>
      <c r="L13" s="24"/>
      <c r="M13" s="24"/>
      <c r="N13" s="24"/>
      <c r="O13" s="24"/>
      <c r="P13" s="29"/>
    </row>
    <row r="14" spans="1:18" x14ac:dyDescent="0.3">
      <c r="A14" s="23" t="s">
        <v>16</v>
      </c>
      <c r="B14" s="24"/>
      <c r="C14" s="31" t="s">
        <v>34</v>
      </c>
      <c r="D14" s="17"/>
      <c r="E14" s="17"/>
      <c r="F14" s="17"/>
      <c r="G14" s="17"/>
      <c r="H14" s="17"/>
      <c r="I14" s="24" t="s">
        <v>17</v>
      </c>
      <c r="J14" s="24"/>
      <c r="K14" s="32" t="s">
        <v>45</v>
      </c>
      <c r="L14" s="17"/>
      <c r="M14" s="17"/>
      <c r="N14" s="17"/>
      <c r="O14" s="17"/>
      <c r="P14" s="18"/>
    </row>
    <row r="15" spans="1:18" x14ac:dyDescent="0.3">
      <c r="A15" s="30" t="s">
        <v>31</v>
      </c>
      <c r="B15" s="17"/>
      <c r="C15" s="17"/>
      <c r="D15" s="17"/>
      <c r="E15" s="17"/>
      <c r="F15" s="17"/>
      <c r="G15" s="17"/>
      <c r="H15" s="17"/>
      <c r="I15" s="17" t="s">
        <v>32</v>
      </c>
      <c r="J15" s="17"/>
      <c r="K15" s="17"/>
      <c r="L15" s="17"/>
      <c r="M15" s="17"/>
      <c r="N15" s="17"/>
      <c r="O15" s="17"/>
      <c r="P15" s="18"/>
    </row>
    <row r="16" spans="1:18" x14ac:dyDescent="0.3">
      <c r="A16" s="23" t="s">
        <v>38</v>
      </c>
      <c r="B16" s="24"/>
      <c r="C16" s="24"/>
      <c r="D16" s="24"/>
      <c r="E16" s="24"/>
      <c r="F16" s="24"/>
      <c r="G16" s="24"/>
      <c r="H16" s="24"/>
      <c r="I16" s="24" t="s">
        <v>39</v>
      </c>
      <c r="J16" s="24"/>
      <c r="K16" s="24"/>
      <c r="L16" s="24"/>
      <c r="M16" s="24"/>
      <c r="N16" s="24"/>
      <c r="O16" s="24"/>
      <c r="P16" s="29"/>
    </row>
    <row r="17" spans="1:16" x14ac:dyDescent="0.3">
      <c r="A17" s="80" t="s">
        <v>37</v>
      </c>
      <c r="B17" s="34"/>
      <c r="C17" s="34"/>
      <c r="D17" s="34"/>
      <c r="E17" s="34"/>
      <c r="F17" s="34"/>
      <c r="G17" s="34"/>
      <c r="H17" s="81"/>
      <c r="I17" s="33" t="s">
        <v>36</v>
      </c>
      <c r="J17" s="34"/>
      <c r="K17" s="34"/>
      <c r="L17" s="34"/>
      <c r="M17" s="34"/>
      <c r="N17" s="34"/>
      <c r="O17" s="34"/>
      <c r="P17" s="35"/>
    </row>
    <row r="18" spans="1:16" x14ac:dyDescent="0.3">
      <c r="A18" s="82"/>
      <c r="B18" s="37"/>
      <c r="C18" s="37"/>
      <c r="D18" s="37"/>
      <c r="E18" s="37"/>
      <c r="F18" s="37"/>
      <c r="G18" s="37"/>
      <c r="H18" s="83"/>
      <c r="I18" s="36"/>
      <c r="J18" s="37"/>
      <c r="K18" s="37"/>
      <c r="L18" s="37"/>
      <c r="M18" s="37"/>
      <c r="N18" s="37"/>
      <c r="O18" s="37"/>
      <c r="P18" s="38"/>
    </row>
    <row r="19" spans="1:16" ht="13.95" customHeight="1" x14ac:dyDescent="0.3">
      <c r="A19" s="82"/>
      <c r="B19" s="37"/>
      <c r="C19" s="37"/>
      <c r="D19" s="37"/>
      <c r="E19" s="37"/>
      <c r="F19" s="37"/>
      <c r="G19" s="37"/>
      <c r="H19" s="83"/>
      <c r="I19" s="36"/>
      <c r="J19" s="37"/>
      <c r="K19" s="37"/>
      <c r="L19" s="37"/>
      <c r="M19" s="37"/>
      <c r="N19" s="37"/>
      <c r="O19" s="37"/>
      <c r="P19" s="38"/>
    </row>
    <row r="20" spans="1:16" x14ac:dyDescent="0.3">
      <c r="A20" s="84"/>
      <c r="B20" s="40"/>
      <c r="C20" s="40"/>
      <c r="D20" s="40"/>
      <c r="E20" s="40"/>
      <c r="F20" s="40"/>
      <c r="G20" s="40"/>
      <c r="H20" s="85"/>
      <c r="I20" s="39"/>
      <c r="J20" s="40"/>
      <c r="K20" s="40"/>
      <c r="L20" s="40"/>
      <c r="M20" s="40"/>
      <c r="N20" s="40"/>
      <c r="O20" s="40"/>
      <c r="P20" s="41"/>
    </row>
    <row r="21" spans="1:16" x14ac:dyDescent="0.3">
      <c r="A21" s="21" t="s">
        <v>40</v>
      </c>
      <c r="B21" s="22"/>
      <c r="C21" s="22"/>
      <c r="D21" s="22"/>
      <c r="E21" s="22"/>
      <c r="F21" s="22"/>
      <c r="G21" s="22"/>
      <c r="H21" s="22"/>
      <c r="I21" s="22" t="s">
        <v>40</v>
      </c>
      <c r="J21" s="22"/>
      <c r="K21" s="22"/>
      <c r="L21" s="22"/>
      <c r="M21" s="22"/>
      <c r="N21" s="22"/>
      <c r="O21" s="22"/>
      <c r="P21" s="25"/>
    </row>
    <row r="22" spans="1:16" x14ac:dyDescent="0.3">
      <c r="A22" s="23" t="s">
        <v>35</v>
      </c>
      <c r="B22" s="24"/>
      <c r="C22" s="24"/>
      <c r="D22" s="24"/>
      <c r="E22" s="24"/>
      <c r="F22" s="24"/>
      <c r="G22" s="12" t="s">
        <v>3</v>
      </c>
      <c r="H22" s="12">
        <v>27</v>
      </c>
      <c r="I22" s="24" t="s">
        <v>35</v>
      </c>
      <c r="J22" s="24"/>
      <c r="K22" s="24"/>
      <c r="L22" s="24"/>
      <c r="M22" s="24"/>
      <c r="N22" s="24"/>
      <c r="O22" s="12" t="s">
        <v>3</v>
      </c>
      <c r="P22" s="13">
        <v>27</v>
      </c>
    </row>
    <row r="23" spans="1:16" ht="15" customHeight="1" x14ac:dyDescent="0.3">
      <c r="A23" s="19" t="s">
        <v>4</v>
      </c>
      <c r="B23" s="20" t="s">
        <v>5</v>
      </c>
      <c r="C23" s="20"/>
      <c r="D23" s="20"/>
      <c r="E23" s="20"/>
      <c r="F23" s="20"/>
      <c r="G23" s="20"/>
      <c r="H23" s="20"/>
      <c r="I23" s="60" t="s">
        <v>14</v>
      </c>
      <c r="J23" s="60"/>
      <c r="K23" s="59" t="s">
        <v>12</v>
      </c>
      <c r="L23" s="58" t="s">
        <v>15</v>
      </c>
      <c r="M23" s="59" t="s">
        <v>20</v>
      </c>
      <c r="N23" s="59"/>
      <c r="O23" s="60" t="s">
        <v>13</v>
      </c>
      <c r="P23" s="61"/>
    </row>
    <row r="24" spans="1:16" ht="15.75" customHeight="1" x14ac:dyDescent="0.3">
      <c r="A24" s="19"/>
      <c r="B24" s="20"/>
      <c r="C24" s="20"/>
      <c r="D24" s="20"/>
      <c r="E24" s="20"/>
      <c r="F24" s="20"/>
      <c r="G24" s="20"/>
      <c r="H24" s="20"/>
      <c r="I24" s="60"/>
      <c r="J24" s="60"/>
      <c r="K24" s="59"/>
      <c r="L24" s="58"/>
      <c r="M24" s="59"/>
      <c r="N24" s="59"/>
      <c r="O24" s="60"/>
      <c r="P24" s="61"/>
    </row>
    <row r="25" spans="1:16" x14ac:dyDescent="0.3">
      <c r="A25" s="10">
        <v>1</v>
      </c>
      <c r="B25" s="75" t="s">
        <v>42</v>
      </c>
      <c r="C25" s="76"/>
      <c r="D25" s="76"/>
      <c r="E25" s="76"/>
      <c r="F25" s="76"/>
      <c r="G25" s="76"/>
      <c r="H25" s="77"/>
      <c r="I25" s="78">
        <v>3907</v>
      </c>
      <c r="J25" s="79"/>
      <c r="K25" s="15">
        <v>1300</v>
      </c>
      <c r="L25" s="14" t="s">
        <v>30</v>
      </c>
      <c r="M25" s="86">
        <v>158</v>
      </c>
      <c r="N25" s="87"/>
      <c r="O25" s="52">
        <f>K25*M25</f>
        <v>205400</v>
      </c>
      <c r="P25" s="53"/>
    </row>
    <row r="26" spans="1:16" x14ac:dyDescent="0.3">
      <c r="A26" s="10"/>
      <c r="B26" s="78" t="s">
        <v>48</v>
      </c>
      <c r="C26" s="90"/>
      <c r="D26" s="90"/>
      <c r="E26" s="90"/>
      <c r="F26" s="90"/>
      <c r="G26" s="90"/>
      <c r="H26" s="79"/>
      <c r="I26" s="78"/>
      <c r="J26" s="79"/>
      <c r="K26" s="14"/>
      <c r="L26" s="3"/>
      <c r="M26" s="54"/>
      <c r="N26" s="55"/>
      <c r="O26" s="52"/>
      <c r="P26" s="53"/>
    </row>
    <row r="27" spans="1:16" x14ac:dyDescent="0.3">
      <c r="A27" s="10"/>
      <c r="B27" s="78"/>
      <c r="C27" s="90"/>
      <c r="D27" s="90"/>
      <c r="E27" s="90"/>
      <c r="F27" s="90"/>
      <c r="G27" s="90"/>
      <c r="H27" s="79"/>
      <c r="I27" s="78"/>
      <c r="J27" s="79"/>
      <c r="K27" s="14"/>
      <c r="L27" s="3"/>
      <c r="M27" s="54"/>
      <c r="N27" s="55"/>
      <c r="O27" s="52"/>
      <c r="P27" s="53"/>
    </row>
    <row r="28" spans="1:16" x14ac:dyDescent="0.3">
      <c r="A28" s="10"/>
      <c r="B28" s="78"/>
      <c r="C28" s="90"/>
      <c r="D28" s="90"/>
      <c r="E28" s="90"/>
      <c r="F28" s="90"/>
      <c r="G28" s="90"/>
      <c r="H28" s="79"/>
      <c r="I28" s="78"/>
      <c r="J28" s="79"/>
      <c r="K28" s="14"/>
      <c r="L28" s="3"/>
      <c r="M28" s="86"/>
      <c r="N28" s="87"/>
      <c r="O28" s="52"/>
      <c r="P28" s="53"/>
    </row>
    <row r="29" spans="1:16" x14ac:dyDescent="0.3">
      <c r="A29" s="10"/>
      <c r="B29" s="78"/>
      <c r="C29" s="90"/>
      <c r="D29" s="90"/>
      <c r="E29" s="90"/>
      <c r="F29" s="90"/>
      <c r="G29" s="90"/>
      <c r="H29" s="79"/>
      <c r="I29" s="78"/>
      <c r="J29" s="79"/>
      <c r="K29" s="14"/>
      <c r="L29" s="3"/>
      <c r="M29" s="86"/>
      <c r="N29" s="87"/>
      <c r="O29" s="52"/>
      <c r="P29" s="53"/>
    </row>
    <row r="30" spans="1:16" x14ac:dyDescent="0.3">
      <c r="A30" s="10"/>
      <c r="B30" s="48"/>
      <c r="C30" s="91"/>
      <c r="D30" s="91"/>
      <c r="E30" s="91"/>
      <c r="F30" s="91"/>
      <c r="G30" s="91"/>
      <c r="H30" s="49"/>
      <c r="I30" s="48"/>
      <c r="J30" s="49"/>
      <c r="K30" s="3"/>
      <c r="L30" s="3"/>
      <c r="M30" s="163"/>
      <c r="N30" s="93"/>
      <c r="O30" s="50"/>
      <c r="P30" s="51"/>
    </row>
    <row r="31" spans="1:16" x14ac:dyDescent="0.3">
      <c r="A31" s="10"/>
      <c r="B31" s="48"/>
      <c r="C31" s="91"/>
      <c r="D31" s="91"/>
      <c r="E31" s="91"/>
      <c r="F31" s="91"/>
      <c r="G31" s="91"/>
      <c r="H31" s="49"/>
      <c r="I31" s="48"/>
      <c r="J31" s="49"/>
      <c r="K31" s="3"/>
      <c r="L31" s="3"/>
      <c r="M31" s="48"/>
      <c r="N31" s="49"/>
      <c r="O31" s="50"/>
      <c r="P31" s="51"/>
    </row>
    <row r="32" spans="1:16" x14ac:dyDescent="0.3">
      <c r="A32" s="10"/>
      <c r="B32" s="48"/>
      <c r="C32" s="91"/>
      <c r="D32" s="91"/>
      <c r="E32" s="91"/>
      <c r="F32" s="91"/>
      <c r="G32" s="91"/>
      <c r="H32" s="49"/>
      <c r="I32" s="48"/>
      <c r="J32" s="49"/>
      <c r="K32" s="3"/>
      <c r="L32" s="3"/>
      <c r="M32" s="48"/>
      <c r="N32" s="49"/>
      <c r="O32" s="50"/>
      <c r="P32" s="51"/>
    </row>
    <row r="33" spans="1:16" x14ac:dyDescent="0.3">
      <c r="A33" s="10"/>
      <c r="B33" s="48"/>
      <c r="C33" s="91"/>
      <c r="D33" s="91"/>
      <c r="E33" s="91"/>
      <c r="F33" s="91"/>
      <c r="G33" s="91"/>
      <c r="H33" s="49"/>
      <c r="I33" s="48"/>
      <c r="J33" s="49"/>
      <c r="K33" s="3"/>
      <c r="L33" s="3"/>
      <c r="M33" s="48"/>
      <c r="N33" s="49"/>
      <c r="O33" s="50"/>
      <c r="P33" s="51"/>
    </row>
    <row r="34" spans="1:16" x14ac:dyDescent="0.3">
      <c r="A34" s="10"/>
      <c r="B34" s="48"/>
      <c r="C34" s="92"/>
      <c r="D34" s="92"/>
      <c r="E34" s="92"/>
      <c r="F34" s="92"/>
      <c r="G34" s="92"/>
      <c r="H34" s="93"/>
      <c r="I34" s="48"/>
      <c r="J34" s="49"/>
      <c r="K34" s="3"/>
      <c r="L34" s="3"/>
      <c r="M34" s="48"/>
      <c r="N34" s="49"/>
      <c r="O34" s="50"/>
      <c r="P34" s="51"/>
    </row>
    <row r="35" spans="1:16" x14ac:dyDescent="0.3">
      <c r="A35" s="10"/>
      <c r="B35" s="48"/>
      <c r="C35" s="92"/>
      <c r="D35" s="92"/>
      <c r="E35" s="92"/>
      <c r="F35" s="92"/>
      <c r="G35" s="92"/>
      <c r="H35" s="93"/>
      <c r="I35" s="48"/>
      <c r="J35" s="49"/>
      <c r="K35" s="3"/>
      <c r="L35" s="3"/>
      <c r="M35" s="48"/>
      <c r="N35" s="49"/>
      <c r="O35" s="50"/>
      <c r="P35" s="51"/>
    </row>
    <row r="36" spans="1:16" x14ac:dyDescent="0.3">
      <c r="A36" s="10"/>
      <c r="B36" s="48"/>
      <c r="C36" s="92"/>
      <c r="D36" s="92"/>
      <c r="E36" s="92"/>
      <c r="F36" s="92"/>
      <c r="G36" s="92"/>
      <c r="H36" s="93"/>
      <c r="I36" s="48"/>
      <c r="J36" s="49"/>
      <c r="K36" s="3"/>
      <c r="L36" s="3"/>
      <c r="M36" s="48"/>
      <c r="N36" s="49"/>
      <c r="O36" s="50"/>
      <c r="P36" s="51"/>
    </row>
    <row r="37" spans="1:16" x14ac:dyDescent="0.3">
      <c r="A37" s="10"/>
      <c r="B37" s="48"/>
      <c r="C37" s="92"/>
      <c r="D37" s="92"/>
      <c r="E37" s="92"/>
      <c r="F37" s="92"/>
      <c r="G37" s="92"/>
      <c r="H37" s="93"/>
      <c r="I37" s="48"/>
      <c r="J37" s="49"/>
      <c r="K37" s="3"/>
      <c r="L37" s="3"/>
      <c r="M37" s="48"/>
      <c r="N37" s="49"/>
      <c r="O37" s="161"/>
      <c r="P37" s="162"/>
    </row>
    <row r="38" spans="1:16" x14ac:dyDescent="0.3">
      <c r="A38" s="4"/>
      <c r="B38" s="143"/>
      <c r="C38" s="144"/>
      <c r="D38" s="144"/>
      <c r="E38" s="144"/>
      <c r="F38" s="144"/>
      <c r="G38" s="144"/>
      <c r="H38" s="144"/>
      <c r="I38" s="94" t="s">
        <v>33</v>
      </c>
      <c r="J38" s="94"/>
      <c r="K38" s="94"/>
      <c r="L38" s="94"/>
      <c r="M38" s="95"/>
      <c r="N38" s="31"/>
      <c r="O38" s="146">
        <v>0</v>
      </c>
      <c r="P38" s="147"/>
    </row>
    <row r="39" spans="1:16" x14ac:dyDescent="0.3">
      <c r="A39" s="151" t="s">
        <v>49</v>
      </c>
      <c r="B39" s="152"/>
      <c r="C39" s="152"/>
      <c r="D39" s="152"/>
      <c r="E39" s="152"/>
      <c r="F39" s="152"/>
      <c r="G39" s="152"/>
      <c r="H39" s="152"/>
      <c r="I39" s="153"/>
      <c r="J39" s="148" t="s">
        <v>19</v>
      </c>
      <c r="K39" s="149"/>
      <c r="L39" s="149"/>
      <c r="M39" s="149"/>
      <c r="N39" s="150"/>
      <c r="O39" s="88">
        <f>SUM(O25:O38)</f>
        <v>205400</v>
      </c>
      <c r="P39" s="89"/>
    </row>
    <row r="40" spans="1:16" x14ac:dyDescent="0.3">
      <c r="A40" s="154"/>
      <c r="B40" s="155"/>
      <c r="C40" s="155"/>
      <c r="D40" s="155"/>
      <c r="E40" s="155"/>
      <c r="F40" s="155"/>
      <c r="G40" s="155"/>
      <c r="H40" s="155"/>
      <c r="I40" s="156"/>
      <c r="J40" s="113" t="s">
        <v>27</v>
      </c>
      <c r="K40" s="114"/>
      <c r="L40" s="114"/>
      <c r="M40" s="115">
        <v>0.09</v>
      </c>
      <c r="N40" s="116"/>
      <c r="O40" s="88">
        <f>O39*M40</f>
        <v>18486</v>
      </c>
      <c r="P40" s="89"/>
    </row>
    <row r="41" spans="1:16" x14ac:dyDescent="0.3">
      <c r="A41" s="154"/>
      <c r="B41" s="155"/>
      <c r="C41" s="155"/>
      <c r="D41" s="155"/>
      <c r="E41" s="155"/>
      <c r="F41" s="155"/>
      <c r="G41" s="155"/>
      <c r="H41" s="155"/>
      <c r="I41" s="156"/>
      <c r="J41" s="113" t="s">
        <v>28</v>
      </c>
      <c r="K41" s="114"/>
      <c r="L41" s="114"/>
      <c r="M41" s="115">
        <v>0.09</v>
      </c>
      <c r="N41" s="116"/>
      <c r="O41" s="88">
        <f>O39*M41</f>
        <v>18486</v>
      </c>
      <c r="P41" s="89"/>
    </row>
    <row r="42" spans="1:16" ht="14.7" customHeight="1" x14ac:dyDescent="0.3">
      <c r="A42" s="157"/>
      <c r="B42" s="155"/>
      <c r="C42" s="155"/>
      <c r="D42" s="155"/>
      <c r="E42" s="155"/>
      <c r="F42" s="155"/>
      <c r="G42" s="155"/>
      <c r="H42" s="155"/>
      <c r="I42" s="156"/>
      <c r="J42" s="113" t="s">
        <v>26</v>
      </c>
      <c r="K42" s="114"/>
      <c r="L42" s="114"/>
      <c r="M42" s="114"/>
      <c r="N42" s="139"/>
      <c r="O42" s="88">
        <f>O40+O41</f>
        <v>36972</v>
      </c>
      <c r="P42" s="89"/>
    </row>
    <row r="43" spans="1:16" x14ac:dyDescent="0.3">
      <c r="A43" s="158"/>
      <c r="B43" s="159"/>
      <c r="C43" s="159"/>
      <c r="D43" s="159"/>
      <c r="E43" s="159"/>
      <c r="F43" s="159"/>
      <c r="G43" s="159"/>
      <c r="H43" s="159"/>
      <c r="I43" s="160"/>
      <c r="J43" s="138" t="s">
        <v>6</v>
      </c>
      <c r="K43" s="138"/>
      <c r="L43" s="138"/>
      <c r="M43" s="138"/>
      <c r="N43" s="138"/>
      <c r="O43" s="141">
        <f>O39+O42</f>
        <v>242372</v>
      </c>
      <c r="P43" s="145"/>
    </row>
    <row r="44" spans="1:16" x14ac:dyDescent="0.3">
      <c r="A44" s="80" t="s">
        <v>29</v>
      </c>
      <c r="B44" s="105"/>
      <c r="C44" s="105"/>
      <c r="D44" s="105"/>
      <c r="E44" s="105"/>
      <c r="F44" s="105"/>
      <c r="G44" s="105"/>
      <c r="H44" s="105"/>
      <c r="I44" s="106"/>
      <c r="J44" s="140" t="s">
        <v>7</v>
      </c>
      <c r="K44" s="140"/>
      <c r="L44" s="140"/>
      <c r="M44" s="140"/>
      <c r="N44" s="140"/>
      <c r="O44" s="141">
        <v>0</v>
      </c>
      <c r="P44" s="142"/>
    </row>
    <row r="45" spans="1:16" x14ac:dyDescent="0.3">
      <c r="A45" s="107"/>
      <c r="B45" s="108"/>
      <c r="C45" s="108"/>
      <c r="D45" s="108"/>
      <c r="E45" s="108"/>
      <c r="F45" s="108"/>
      <c r="G45" s="108"/>
      <c r="H45" s="108"/>
      <c r="I45" s="109"/>
      <c r="J45" s="132" t="s">
        <v>8</v>
      </c>
      <c r="K45" s="133"/>
      <c r="L45" s="133"/>
      <c r="M45" s="133"/>
      <c r="N45" s="133"/>
      <c r="O45" s="133"/>
      <c r="P45" s="134"/>
    </row>
    <row r="46" spans="1:16" ht="18.75" customHeight="1" x14ac:dyDescent="0.3">
      <c r="A46" s="110"/>
      <c r="B46" s="111"/>
      <c r="C46" s="111"/>
      <c r="D46" s="111"/>
      <c r="E46" s="111"/>
      <c r="F46" s="111"/>
      <c r="G46" s="111"/>
      <c r="H46" s="111"/>
      <c r="I46" s="112"/>
      <c r="J46" s="135"/>
      <c r="K46" s="136"/>
      <c r="L46" s="136"/>
      <c r="M46" s="136"/>
      <c r="N46" s="136"/>
      <c r="O46" s="136"/>
      <c r="P46" s="137"/>
    </row>
    <row r="47" spans="1:16" ht="15" customHeight="1" x14ac:dyDescent="0.3">
      <c r="A47" s="117" t="s">
        <v>25</v>
      </c>
      <c r="B47" s="118"/>
      <c r="C47" s="118"/>
      <c r="D47" s="118"/>
      <c r="E47" s="118"/>
      <c r="F47" s="119"/>
      <c r="G47" s="126" t="s">
        <v>9</v>
      </c>
      <c r="H47" s="126"/>
      <c r="I47" s="127"/>
      <c r="J47" s="96" t="s">
        <v>24</v>
      </c>
      <c r="K47" s="97"/>
      <c r="L47" s="97"/>
      <c r="M47" s="97"/>
      <c r="N47" s="97"/>
      <c r="O47" s="97"/>
      <c r="P47" s="98"/>
    </row>
    <row r="48" spans="1:16" ht="15" customHeight="1" x14ac:dyDescent="0.3">
      <c r="A48" s="120"/>
      <c r="B48" s="121"/>
      <c r="C48" s="121"/>
      <c r="D48" s="121"/>
      <c r="E48" s="121"/>
      <c r="F48" s="122"/>
      <c r="G48" s="128"/>
      <c r="H48" s="128"/>
      <c r="I48" s="129"/>
      <c r="J48" s="99"/>
      <c r="K48" s="100"/>
      <c r="L48" s="100"/>
      <c r="M48" s="100"/>
      <c r="N48" s="100"/>
      <c r="O48" s="100"/>
      <c r="P48" s="101"/>
    </row>
    <row r="49" spans="1:16" ht="14.7" customHeight="1" x14ac:dyDescent="0.3">
      <c r="A49" s="120"/>
      <c r="B49" s="121"/>
      <c r="C49" s="121"/>
      <c r="D49" s="121"/>
      <c r="E49" s="121"/>
      <c r="F49" s="122"/>
      <c r="G49" s="128"/>
      <c r="H49" s="128"/>
      <c r="I49" s="129"/>
      <c r="J49" s="99"/>
      <c r="K49" s="100"/>
      <c r="L49" s="100"/>
      <c r="M49" s="100"/>
      <c r="N49" s="100"/>
      <c r="O49" s="100"/>
      <c r="P49" s="101"/>
    </row>
    <row r="50" spans="1:16" ht="14.7" customHeight="1" x14ac:dyDescent="0.3">
      <c r="A50" s="120"/>
      <c r="B50" s="121"/>
      <c r="C50" s="121"/>
      <c r="D50" s="121"/>
      <c r="E50" s="121"/>
      <c r="F50" s="122"/>
      <c r="G50" s="128"/>
      <c r="H50" s="128"/>
      <c r="I50" s="129"/>
      <c r="J50" s="99"/>
      <c r="K50" s="100"/>
      <c r="L50" s="100"/>
      <c r="M50" s="100"/>
      <c r="N50" s="100"/>
      <c r="O50" s="100"/>
      <c r="P50" s="101"/>
    </row>
    <row r="51" spans="1:16" ht="14.7" customHeight="1" x14ac:dyDescent="0.3">
      <c r="A51" s="120"/>
      <c r="B51" s="121"/>
      <c r="C51" s="121"/>
      <c r="D51" s="121"/>
      <c r="E51" s="121"/>
      <c r="F51" s="122"/>
      <c r="G51" s="128"/>
      <c r="H51" s="128"/>
      <c r="I51" s="129"/>
      <c r="J51" s="99"/>
      <c r="K51" s="100"/>
      <c r="L51" s="100"/>
      <c r="M51" s="100"/>
      <c r="N51" s="100"/>
      <c r="O51" s="100"/>
      <c r="P51" s="101"/>
    </row>
    <row r="52" spans="1:16" ht="15" customHeight="1" thickBot="1" x14ac:dyDescent="0.35">
      <c r="A52" s="123"/>
      <c r="B52" s="124"/>
      <c r="C52" s="124"/>
      <c r="D52" s="124"/>
      <c r="E52" s="124"/>
      <c r="F52" s="125"/>
      <c r="G52" s="130"/>
      <c r="H52" s="130"/>
      <c r="I52" s="131"/>
      <c r="J52" s="102"/>
      <c r="K52" s="103"/>
      <c r="L52" s="103"/>
      <c r="M52" s="103"/>
      <c r="N52" s="103"/>
      <c r="O52" s="103"/>
      <c r="P52" s="104"/>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2025-12-29T11:43:35Z</cp:lastPrinted>
  <dcterms:created xsi:type="dcterms:W3CDTF">2017-06-22T18:14:43Z</dcterms:created>
  <dcterms:modified xsi:type="dcterms:W3CDTF">2026-03-30T11:20:44Z</dcterms:modified>
</cp:coreProperties>
</file>