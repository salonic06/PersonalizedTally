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53222"/>
  <mc:AlternateContent xmlns:mc="http://schemas.openxmlformats.org/markup-compatibility/2006">
    <mc:Choice Requires="x15">
      <x15ac:absPath xmlns:x15ac="http://schemas.microsoft.com/office/spreadsheetml/2010/11/ac" url="E:\GST Invoice Lamitech\2025-2026 Tax Invoice\Tax Invoice\"/>
    </mc:Choice>
  </mc:AlternateContent>
  <bookViews>
    <workbookView xWindow="-108" yWindow="-108" windowWidth="23256" windowHeight="12576"/>
  </bookViews>
  <sheets>
    <sheet name="Tax Invoice - Intra State" sheetId="1" r:id="rId1"/>
    <sheet name="Sheet1" sheetId="2" r:id="rId2"/>
  </sheets>
  <calcPr calcId="162913"/>
</workbook>
</file>

<file path=xl/calcChain.xml><?xml version="1.0" encoding="utf-8"?>
<calcChain xmlns="http://schemas.openxmlformats.org/spreadsheetml/2006/main">
  <c r="O25" i="1" l="1"/>
  <c r="O39" i="1" s="1"/>
  <c r="O41" i="1" l="1"/>
  <c r="O40" i="1" l="1"/>
  <c r="O42" i="1" s="1"/>
  <c r="O43" i="1" s="1"/>
</calcChain>
</file>

<file path=xl/sharedStrings.xml><?xml version="1.0" encoding="utf-8"?>
<sst xmlns="http://schemas.openxmlformats.org/spreadsheetml/2006/main" count="55" uniqueCount="50">
  <si>
    <t>Tax Invoice</t>
  </si>
  <si>
    <t xml:space="preserve">Reverse Charge (Y/N): </t>
  </si>
  <si>
    <t>N</t>
  </si>
  <si>
    <t>Code</t>
  </si>
  <si>
    <t>S. No.</t>
  </si>
  <si>
    <t>Product Description</t>
  </si>
  <si>
    <t>Total Amount after Tax:</t>
  </si>
  <si>
    <t>GST on Reverse Charge</t>
  </si>
  <si>
    <t>Ceritified that the particulars given above are true and correct</t>
  </si>
  <si>
    <t>Common Seal</t>
  </si>
  <si>
    <t>Original for Receipient</t>
  </si>
  <si>
    <t>Duplicate for Transporter</t>
  </si>
  <si>
    <t>Qty.</t>
  </si>
  <si>
    <t>Total  Amount</t>
  </si>
  <si>
    <t>HSN Code</t>
  </si>
  <si>
    <t>Unit</t>
  </si>
  <si>
    <t>P.O. No. :</t>
  </si>
  <si>
    <t xml:space="preserve">P.O. Date: </t>
  </si>
  <si>
    <t>GSTIN: 27AEPPC2120N1ZI</t>
  </si>
  <si>
    <t xml:space="preserve">Total Amount Before Tax </t>
  </si>
  <si>
    <t>Rate Rs.</t>
  </si>
  <si>
    <t>Triplicate for Supplier</t>
  </si>
  <si>
    <t xml:space="preserve">                         Leading Manufacturers of Vinyl Ester &amp; Polyester Resins</t>
  </si>
  <si>
    <r>
      <rPr>
        <b/>
        <sz val="11"/>
        <rFont val="Calibri"/>
        <family val="2"/>
      </rPr>
      <t>Factory:</t>
    </r>
    <r>
      <rPr>
        <sz val="11"/>
        <rFont val="Calibri"/>
        <family val="2"/>
      </rPr>
      <t xml:space="preserve"> Plot No. D-7, Supa MIDC, Taluka-Parner, Dist-Ahmednagar - 414301. Maharashtra, INDIA. 
Ph. 020-2638 1842, Mob. : +91 72760 73396, +91 94220 85806, 
</t>
    </r>
    <r>
      <rPr>
        <b/>
        <sz val="11"/>
        <rFont val="Calibri"/>
        <family val="2"/>
      </rPr>
      <t>E-mail :</t>
    </r>
    <r>
      <rPr>
        <sz val="11"/>
        <rFont val="Calibri"/>
        <family val="2"/>
      </rPr>
      <t xml:space="preserve"> lamitechpolymers@yahoo.com, lamitechpolymers@gmail.com, </t>
    </r>
    <r>
      <rPr>
        <b/>
        <sz val="11"/>
        <rFont val="Calibri"/>
        <family val="2"/>
      </rPr>
      <t>Web :</t>
    </r>
    <r>
      <rPr>
        <sz val="11"/>
        <rFont val="Calibri"/>
        <family val="2"/>
      </rPr>
      <t xml:space="preserve"> www.lamitechpolymers.com.</t>
    </r>
  </si>
  <si>
    <t xml:space="preserve">         For LAMITECH POLYMERS  
            Authorised Signatory                                  </t>
  </si>
  <si>
    <r>
      <rPr>
        <b/>
        <sz val="9"/>
        <color indexed="8"/>
        <rFont val="Calibri"/>
        <family val="2"/>
      </rPr>
      <t>Terms &amp; conditions :</t>
    </r>
    <r>
      <rPr>
        <sz val="9"/>
        <color indexed="8"/>
        <rFont val="Calibri"/>
        <family val="2"/>
      </rPr>
      <t xml:space="preserve"> 
1) Interest at 18% p. a.  will be charged if the invoice is not paid by due date. 
2) No claim in respect of material supplied vide this invoice will be entertained unless the same is lodged in writing within 7 days of dispatch. 
3) All our transactions are subject to Pune Jurisdiction.</t>
    </r>
  </si>
  <si>
    <t>Total Tax Amout</t>
  </si>
  <si>
    <t xml:space="preserve">Add: CGST </t>
  </si>
  <si>
    <t xml:space="preserve">Add: SGST </t>
  </si>
  <si>
    <r>
      <t xml:space="preserve">Bank Details: </t>
    </r>
    <r>
      <rPr>
        <sz val="11"/>
        <color theme="1"/>
        <rFont val="Calibri"/>
        <family val="2"/>
        <scheme val="minor"/>
      </rPr>
      <t xml:space="preserve">
Bank Name &amp; Branch : Canara Bank, Bhavani Peth Branch,
Bank A/C: 0361261004246 - IFSC: CNRB0000361</t>
    </r>
  </si>
  <si>
    <t>Kg</t>
  </si>
  <si>
    <t>Billed To :</t>
  </si>
  <si>
    <t>Shipped To :</t>
  </si>
  <si>
    <t>Freight</t>
  </si>
  <si>
    <r>
      <t>State:</t>
    </r>
    <r>
      <rPr>
        <sz val="11"/>
        <color theme="1"/>
        <rFont val="Calibri"/>
        <family val="2"/>
        <scheme val="minor"/>
      </rPr>
      <t xml:space="preserve"> Maharashtra</t>
    </r>
  </si>
  <si>
    <r>
      <t xml:space="preserve">State: </t>
    </r>
    <r>
      <rPr>
        <sz val="11"/>
        <color theme="1"/>
        <rFont val="Calibri"/>
        <family val="2"/>
        <scheme val="minor"/>
      </rPr>
      <t>Maharashtra</t>
    </r>
  </si>
  <si>
    <t>Name: M/s International Fiberglass &amp; Plastic (I) Pvt Ltd</t>
  </si>
  <si>
    <r>
      <t xml:space="preserve">Address:  </t>
    </r>
    <r>
      <rPr>
        <sz val="11"/>
        <color theme="1"/>
        <rFont val="Calibri"/>
        <family val="2"/>
        <scheme val="minor"/>
      </rPr>
      <t xml:space="preserve">Plot No. A7/2/D-1, Capital City MIDC Phase IV,
Nighoje, Khed,  Pune - 410501
Mr Santosh Reddy :8150087616 / 8459536474
</t>
    </r>
  </si>
  <si>
    <r>
      <t xml:space="preserve">GSTIN: </t>
    </r>
    <r>
      <rPr>
        <sz val="11"/>
        <color theme="1"/>
        <rFont val="Calibri"/>
        <family val="2"/>
        <scheme val="minor"/>
      </rPr>
      <t>27AAHCI5926M1Z1</t>
    </r>
  </si>
  <si>
    <r>
      <t>Address:</t>
    </r>
    <r>
      <rPr>
        <sz val="11"/>
        <color theme="1"/>
        <rFont val="Calibri"/>
        <family val="2"/>
        <scheme val="minor"/>
      </rPr>
      <t xml:space="preserve"> Gat No. 265, Satav Estate Chakan Talegaon Rd,
Kharabwadi (CT), Tal- Khed, Dist - Pune 410 501
M: 9850052517</t>
    </r>
  </si>
  <si>
    <t>Tax Invoice No.: 485</t>
  </si>
  <si>
    <r>
      <t xml:space="preserve">Tax Invoice Dt.: </t>
    </r>
    <r>
      <rPr>
        <sz val="11"/>
        <color theme="1"/>
        <rFont val="Calibri"/>
        <family val="2"/>
        <scheme val="minor"/>
      </rPr>
      <t>27.03.2026</t>
    </r>
  </si>
  <si>
    <r>
      <t xml:space="preserve">Transport Mode: </t>
    </r>
    <r>
      <rPr>
        <sz val="11"/>
        <color theme="1"/>
        <rFont val="Calibri"/>
        <family val="2"/>
        <scheme val="minor"/>
      </rPr>
      <t>ACPLTr, To Pay, Godown delivery</t>
    </r>
  </si>
  <si>
    <t xml:space="preserve">Eway Bill No : </t>
  </si>
  <si>
    <r>
      <t xml:space="preserve">Payment Terms: </t>
    </r>
    <r>
      <rPr>
        <sz val="11"/>
        <color theme="1"/>
        <rFont val="Calibri"/>
        <family val="2"/>
        <scheme val="minor"/>
      </rPr>
      <t>30 days PDC</t>
    </r>
  </si>
  <si>
    <t>Lampol-756</t>
  </si>
  <si>
    <r>
      <t xml:space="preserve">Total Amount in Words :                                                            </t>
    </r>
    <r>
      <rPr>
        <sz val="11"/>
        <color theme="1"/>
        <rFont val="Arial"/>
        <family val="2"/>
      </rPr>
      <t xml:space="preserve">Rs Twenty Two Thousand Seven Hundred Ninety Seven and Sixty Paise  Only
</t>
    </r>
    <r>
      <rPr>
        <b/>
        <sz val="11"/>
        <color theme="1"/>
        <rFont val="Arial"/>
        <family val="2"/>
      </rPr>
      <t xml:space="preserve">
</t>
    </r>
  </si>
  <si>
    <t>IFPI/LPO/103/2025</t>
  </si>
  <si>
    <t>27.03.2026</t>
  </si>
  <si>
    <r>
      <t>Place of Supply :</t>
    </r>
    <r>
      <rPr>
        <sz val="11"/>
        <color theme="1"/>
        <rFont val="Calibri"/>
        <family val="2"/>
        <scheme val="minor"/>
      </rPr>
      <t xml:space="preserve"> Kharabwadi godown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</si>
</sst>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21" x14ac:knownFonts="1">
    <font>
      <sz val="11"/>
      <color theme="1"/>
      <name val="Calibri"/>
      <family val="2"/>
      <scheme val="minor"/>
    </font>
    <font>
      <b/>
      <sz val="9"/>
      <color indexed="8"/>
      <name val="Calibri"/>
      <family val="2"/>
    </font>
    <font>
      <sz val="11"/>
      <name val="Calibri"/>
      <family val="2"/>
    </font>
    <font>
      <sz val="9"/>
      <color indexed="8"/>
      <name val="Calibri"/>
      <family val="2"/>
    </font>
    <font>
      <b/>
      <sz val="11"/>
      <name val="Calibri"/>
      <family val="2"/>
    </font>
    <font>
      <b/>
      <sz val="11"/>
      <color theme="1"/>
      <name val="Calibri"/>
      <family val="2"/>
      <scheme val="minor"/>
    </font>
    <font>
      <b/>
      <sz val="12"/>
      <color theme="1"/>
      <name val="Calibri"/>
      <family val="2"/>
    </font>
    <font>
      <sz val="10"/>
      <color theme="1"/>
      <name val="Calibri"/>
      <family val="2"/>
      <scheme val="minor"/>
    </font>
    <font>
      <b/>
      <sz val="8"/>
      <color theme="1"/>
      <name val="Calibri"/>
      <family val="2"/>
      <scheme val="minor"/>
    </font>
    <font>
      <b/>
      <sz val="11"/>
      <color theme="1"/>
      <name val="Arial"/>
      <family val="2"/>
    </font>
    <font>
      <b/>
      <sz val="15"/>
      <color theme="1"/>
      <name val="Calibri"/>
      <family val="2"/>
      <scheme val="minor"/>
    </font>
    <font>
      <sz val="9"/>
      <color theme="1"/>
      <name val="Calibri"/>
      <family val="2"/>
      <scheme val="minor"/>
    </font>
    <font>
      <sz val="8"/>
      <color theme="1"/>
      <name val="Calibri"/>
      <family val="2"/>
      <scheme val="minor"/>
    </font>
    <font>
      <b/>
      <sz val="12"/>
      <color theme="1"/>
      <name val="Calibri"/>
      <family val="2"/>
      <scheme val="minor"/>
    </font>
    <font>
      <sz val="32"/>
      <color theme="1"/>
      <name val="Britannic Bold"/>
      <family val="2"/>
    </font>
    <font>
      <b/>
      <sz val="14"/>
      <color theme="1"/>
      <name val="Calibri"/>
      <family val="2"/>
      <scheme val="minor"/>
    </font>
    <font>
      <sz val="11"/>
      <name val="Calibri"/>
      <family val="2"/>
      <scheme val="minor"/>
    </font>
    <font>
      <b/>
      <sz val="9"/>
      <color theme="1"/>
      <name val="Calibri"/>
      <family val="2"/>
      <scheme val="minor"/>
    </font>
    <font>
      <b/>
      <sz val="22"/>
      <color theme="1"/>
      <name val="Bookman Old Style"/>
      <family val="1"/>
    </font>
    <font>
      <sz val="10"/>
      <color theme="1"/>
      <name val="Arial"/>
      <family val="2"/>
    </font>
    <font>
      <sz val="11"/>
      <color theme="1"/>
      <name val="Arial"/>
      <family val="2"/>
    </font>
  </fonts>
  <fills count="2">
    <fill>
      <patternFill patternType="none"/>
    </fill>
    <fill>
      <patternFill patternType="gray125"/>
    </fill>
  </fills>
  <borders count="38">
    <border>
      <left/>
      <right/>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thin">
        <color indexed="64"/>
      </left>
      <right/>
      <top style="medium">
        <color indexed="64"/>
      </top>
      <bottom style="thin">
        <color indexed="64"/>
      </bottom>
      <diagonal/>
    </border>
    <border>
      <left style="medium">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bottom/>
      <diagonal/>
    </border>
    <border>
      <left/>
      <right style="medium">
        <color indexed="64"/>
      </right>
      <top/>
      <bottom/>
      <diagonal/>
    </border>
    <border>
      <left/>
      <right style="thin">
        <color indexed="64"/>
      </right>
      <top/>
      <bottom/>
      <diagonal/>
    </border>
    <border>
      <left style="thin">
        <color indexed="64"/>
      </left>
      <right/>
      <top/>
      <bottom style="thin">
        <color indexed="64"/>
      </bottom>
      <diagonal/>
    </border>
    <border>
      <left/>
      <right style="medium">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medium">
        <color indexed="64"/>
      </right>
      <top style="thin">
        <color indexed="64"/>
      </top>
      <bottom/>
      <diagonal/>
    </border>
    <border>
      <left style="thin">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style="thin">
        <color indexed="64"/>
      </top>
      <bottom style="thin">
        <color indexed="64"/>
      </bottom>
      <diagonal/>
    </border>
    <border>
      <left style="medium">
        <color indexed="64"/>
      </left>
      <right/>
      <top/>
      <bottom style="medium">
        <color indexed="64"/>
      </bottom>
      <diagonal/>
    </border>
    <border>
      <left/>
      <right style="thin">
        <color indexed="64"/>
      </right>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162">
    <xf numFmtId="0" fontId="0" fillId="0" borderId="0" xfId="0"/>
    <xf numFmtId="0" fontId="0" fillId="0" borderId="0" xfId="0" applyAlignment="1">
      <alignment vertical="top"/>
    </xf>
    <xf numFmtId="0" fontId="6" fillId="0" borderId="1" xfId="0" applyFont="1" applyBorder="1" applyAlignment="1">
      <alignment vertical="center" wrapText="1"/>
    </xf>
    <xf numFmtId="0" fontId="0" fillId="0" borderId="2" xfId="0" applyBorder="1"/>
    <xf numFmtId="0" fontId="0" fillId="0" borderId="3" xfId="0" applyBorder="1"/>
    <xf numFmtId="0" fontId="7" fillId="0" borderId="0" xfId="0" applyFont="1" applyAlignment="1">
      <alignment vertical="top"/>
    </xf>
    <xf numFmtId="0" fontId="0" fillId="0" borderId="4" xfId="0" applyBorder="1"/>
    <xf numFmtId="0" fontId="0" fillId="0" borderId="5" xfId="0" applyBorder="1"/>
    <xf numFmtId="0" fontId="0" fillId="0" borderId="6" xfId="0" applyBorder="1"/>
    <xf numFmtId="0" fontId="8" fillId="0" borderId="7" xfId="0" applyFont="1" applyBorder="1" applyAlignment="1">
      <alignment vertical="center" wrapText="1"/>
    </xf>
    <xf numFmtId="0" fontId="0" fillId="0" borderId="8" xfId="0" applyBorder="1"/>
    <xf numFmtId="0" fontId="6" fillId="0" borderId="9" xfId="0" applyFont="1" applyBorder="1" applyAlignment="1">
      <alignment vertical="center" wrapText="1"/>
    </xf>
    <xf numFmtId="0" fontId="5" fillId="0" borderId="9" xfId="0" applyFont="1" applyBorder="1"/>
    <xf numFmtId="0" fontId="5" fillId="0" borderId="10" xfId="0" applyFont="1" applyBorder="1"/>
    <xf numFmtId="0" fontId="0" fillId="0" borderId="2" xfId="0" applyBorder="1" applyAlignment="1">
      <alignment horizontal="left"/>
    </xf>
    <xf numFmtId="164" fontId="0" fillId="0" borderId="2" xfId="0" applyNumberFormat="1" applyBorder="1" applyAlignment="1">
      <alignment horizontal="left"/>
    </xf>
    <xf numFmtId="0" fontId="0" fillId="0" borderId="9" xfId="0" applyBorder="1" applyAlignment="1">
      <alignment vertical="top"/>
    </xf>
    <xf numFmtId="2" fontId="0" fillId="0" borderId="11" xfId="0" applyNumberFormat="1" applyBorder="1" applyAlignment="1">
      <alignment horizontal="center"/>
    </xf>
    <xf numFmtId="2" fontId="0" fillId="0" borderId="13" xfId="0" applyNumberFormat="1" applyBorder="1" applyAlignment="1">
      <alignment horizontal="center"/>
    </xf>
    <xf numFmtId="0" fontId="0" fillId="0" borderId="11" xfId="0" applyBorder="1" applyAlignment="1">
      <alignment horizontal="center"/>
    </xf>
    <xf numFmtId="0" fontId="0" fillId="0" borderId="13" xfId="0" applyBorder="1" applyAlignment="1">
      <alignment horizontal="center"/>
    </xf>
    <xf numFmtId="0" fontId="5" fillId="0" borderId="11" xfId="0" applyFont="1" applyBorder="1" applyAlignment="1">
      <alignment horizontal="left"/>
    </xf>
    <xf numFmtId="0" fontId="0" fillId="0" borderId="0" xfId="0" applyBorder="1" applyAlignment="1">
      <alignment horizontal="left"/>
    </xf>
    <xf numFmtId="0" fontId="0" fillId="0" borderId="13" xfId="0" applyBorder="1" applyAlignment="1">
      <alignment horizontal="left"/>
    </xf>
    <xf numFmtId="0" fontId="9" fillId="0" borderId="1" xfId="0" applyFont="1" applyBorder="1" applyAlignment="1">
      <alignment vertical="center"/>
    </xf>
    <xf numFmtId="0" fontId="9" fillId="0" borderId="16" xfId="0" applyFont="1" applyBorder="1" applyAlignment="1">
      <alignment vertical="center"/>
    </xf>
    <xf numFmtId="0" fontId="9" fillId="0" borderId="17" xfId="0" applyFont="1" applyBorder="1" applyAlignment="1">
      <alignment vertical="center"/>
    </xf>
    <xf numFmtId="0" fontId="9" fillId="0" borderId="18" xfId="0" applyFont="1" applyBorder="1" applyAlignment="1">
      <alignment horizontal="left" vertical="top" wrapText="1"/>
    </xf>
    <xf numFmtId="0" fontId="9" fillId="0" borderId="19" xfId="0" applyFont="1" applyBorder="1" applyAlignment="1">
      <alignment horizontal="left" vertical="top"/>
    </xf>
    <xf numFmtId="0" fontId="9" fillId="0" borderId="20" xfId="0" applyFont="1" applyBorder="1" applyAlignment="1">
      <alignment horizontal="left" vertical="top"/>
    </xf>
    <xf numFmtId="0" fontId="9" fillId="0" borderId="6" xfId="0" applyFont="1" applyBorder="1" applyAlignment="1">
      <alignment horizontal="left" vertical="top" wrapText="1"/>
    </xf>
    <xf numFmtId="0" fontId="9" fillId="0" borderId="0" xfId="0" applyFont="1" applyAlignment="1">
      <alignment horizontal="left" vertical="top"/>
    </xf>
    <xf numFmtId="0" fontId="9" fillId="0" borderId="13" xfId="0" applyFont="1" applyBorder="1" applyAlignment="1">
      <alignment horizontal="left" vertical="top"/>
    </xf>
    <xf numFmtId="0" fontId="9" fillId="0" borderId="6" xfId="0" applyFont="1" applyBorder="1" applyAlignment="1">
      <alignment horizontal="left" vertical="top"/>
    </xf>
    <xf numFmtId="0" fontId="9" fillId="0" borderId="21" xfId="0" applyFont="1" applyBorder="1" applyAlignment="1">
      <alignment horizontal="left" vertical="top"/>
    </xf>
    <xf numFmtId="0" fontId="9" fillId="0" borderId="22" xfId="0" applyFont="1" applyBorder="1" applyAlignment="1">
      <alignment horizontal="left" vertical="top"/>
    </xf>
    <xf numFmtId="0" fontId="9" fillId="0" borderId="23" xfId="0" applyFont="1" applyBorder="1" applyAlignment="1">
      <alignment horizontal="left" vertical="top"/>
    </xf>
    <xf numFmtId="0" fontId="0" fillId="0" borderId="0" xfId="0" applyAlignment="1">
      <alignment horizontal="center"/>
    </xf>
    <xf numFmtId="0" fontId="0" fillId="0" borderId="0" xfId="0"/>
    <xf numFmtId="0" fontId="0" fillId="0" borderId="13" xfId="0" applyBorder="1"/>
    <xf numFmtId="0" fontId="0" fillId="0" borderId="11" xfId="0" applyBorder="1" applyAlignment="1">
      <alignment horizontal="right"/>
    </xf>
    <xf numFmtId="0" fontId="0" fillId="0" borderId="12" xfId="0" applyBorder="1" applyAlignment="1">
      <alignment horizontal="right"/>
    </xf>
    <xf numFmtId="0" fontId="0" fillId="0" borderId="14" xfId="0" applyBorder="1" applyAlignment="1">
      <alignment horizontal="right"/>
    </xf>
    <xf numFmtId="0" fontId="0" fillId="0" borderId="15" xfId="0" applyBorder="1" applyAlignment="1">
      <alignment horizontal="right"/>
    </xf>
    <xf numFmtId="2" fontId="0" fillId="0" borderId="11" xfId="0" applyNumberFormat="1" applyBorder="1" applyAlignment="1">
      <alignment horizontal="right"/>
    </xf>
    <xf numFmtId="2" fontId="0" fillId="0" borderId="12" xfId="0" applyNumberFormat="1" applyBorder="1" applyAlignment="1">
      <alignment horizontal="right"/>
    </xf>
    <xf numFmtId="0" fontId="10" fillId="0" borderId="24" xfId="0" applyFont="1" applyBorder="1" applyAlignment="1">
      <alignment vertical="top" wrapText="1"/>
    </xf>
    <xf numFmtId="0" fontId="10" fillId="0" borderId="19" xfId="0" applyFont="1" applyBorder="1" applyAlignment="1">
      <alignment vertical="top"/>
    </xf>
    <xf numFmtId="0" fontId="10" fillId="0" borderId="25" xfId="0" applyFont="1" applyBorder="1" applyAlignment="1">
      <alignment vertical="top"/>
    </xf>
    <xf numFmtId="0" fontId="10" fillId="0" borderId="11" xfId="0" applyFont="1" applyBorder="1" applyAlignment="1">
      <alignment vertical="top"/>
    </xf>
    <xf numFmtId="0" fontId="10" fillId="0" borderId="0" xfId="0" applyFont="1" applyAlignment="1">
      <alignment vertical="top"/>
    </xf>
    <xf numFmtId="0" fontId="10" fillId="0" borderId="12" xfId="0" applyFont="1" applyBorder="1" applyAlignment="1">
      <alignment vertical="top"/>
    </xf>
    <xf numFmtId="0" fontId="10" fillId="0" borderId="26" xfId="0" applyFont="1" applyBorder="1" applyAlignment="1">
      <alignment vertical="top"/>
    </xf>
    <xf numFmtId="0" fontId="10" fillId="0" borderId="27" xfId="0" applyFont="1" applyBorder="1" applyAlignment="1">
      <alignment vertical="top"/>
    </xf>
    <xf numFmtId="0" fontId="10" fillId="0" borderId="28" xfId="0" applyFont="1" applyBorder="1" applyAlignment="1">
      <alignment vertical="top"/>
    </xf>
    <xf numFmtId="0" fontId="5" fillId="0" borderId="18" xfId="0" applyFont="1" applyBorder="1" applyAlignment="1">
      <alignment horizontal="left" vertical="top" wrapText="1"/>
    </xf>
    <xf numFmtId="0" fontId="5" fillId="0" borderId="19" xfId="0" applyFont="1" applyBorder="1" applyAlignment="1">
      <alignment horizontal="left" vertical="top"/>
    </xf>
    <xf numFmtId="0" fontId="5" fillId="0" borderId="20" xfId="0" applyFont="1" applyBorder="1" applyAlignment="1">
      <alignment horizontal="left" vertical="top"/>
    </xf>
    <xf numFmtId="0" fontId="5" fillId="0" borderId="6" xfId="0" applyFont="1" applyBorder="1" applyAlignment="1">
      <alignment horizontal="left" vertical="top"/>
    </xf>
    <xf numFmtId="0" fontId="5" fillId="0" borderId="0" xfId="0" applyFont="1" applyAlignment="1">
      <alignment horizontal="left" vertical="top"/>
    </xf>
    <xf numFmtId="0" fontId="5" fillId="0" borderId="13" xfId="0" applyFont="1" applyBorder="1" applyAlignment="1">
      <alignment horizontal="left" vertical="top"/>
    </xf>
    <xf numFmtId="0" fontId="5" fillId="0" borderId="21" xfId="0" applyFont="1" applyBorder="1" applyAlignment="1">
      <alignment horizontal="left" vertical="top"/>
    </xf>
    <xf numFmtId="0" fontId="5" fillId="0" borderId="22" xfId="0" applyFont="1" applyBorder="1" applyAlignment="1">
      <alignment horizontal="left" vertical="top"/>
    </xf>
    <xf numFmtId="0" fontId="5" fillId="0" borderId="23" xfId="0" applyFont="1" applyBorder="1" applyAlignment="1">
      <alignment horizontal="left" vertical="top"/>
    </xf>
    <xf numFmtId="0" fontId="9" fillId="0" borderId="1" xfId="0" applyFont="1" applyBorder="1" applyAlignment="1">
      <alignment horizontal="left" vertical="center"/>
    </xf>
    <xf numFmtId="0" fontId="9" fillId="0" borderId="16" xfId="0" applyFont="1" applyBorder="1" applyAlignment="1">
      <alignment horizontal="left" vertical="center"/>
    </xf>
    <xf numFmtId="9" fontId="9" fillId="0" borderId="16" xfId="0" applyNumberFormat="1" applyFont="1" applyBorder="1" applyAlignment="1">
      <alignment horizontal="center" vertical="center"/>
    </xf>
    <xf numFmtId="0" fontId="9" fillId="0" borderId="17" xfId="0" applyFont="1" applyBorder="1" applyAlignment="1">
      <alignment horizontal="center" vertical="center"/>
    </xf>
    <xf numFmtId="2" fontId="0" fillId="0" borderId="1" xfId="0" applyNumberFormat="1" applyBorder="1" applyAlignment="1">
      <alignment horizontal="right" vertical="center"/>
    </xf>
    <xf numFmtId="2" fontId="0" fillId="0" borderId="29" xfId="0" applyNumberFormat="1" applyBorder="1" applyAlignment="1">
      <alignment horizontal="right" vertical="center"/>
    </xf>
    <xf numFmtId="0" fontId="11" fillId="0" borderId="18" xfId="0" applyFont="1" applyBorder="1" applyAlignment="1">
      <alignment horizontal="left" vertical="top" wrapText="1"/>
    </xf>
    <xf numFmtId="0" fontId="11" fillId="0" borderId="19" xfId="0" applyFont="1" applyBorder="1" applyAlignment="1">
      <alignment horizontal="left" vertical="top" wrapText="1"/>
    </xf>
    <xf numFmtId="0" fontId="11" fillId="0" borderId="20" xfId="0" applyFont="1" applyBorder="1" applyAlignment="1">
      <alignment horizontal="left" vertical="top" wrapText="1"/>
    </xf>
    <xf numFmtId="0" fontId="11" fillId="0" borderId="6" xfId="0" applyFont="1" applyBorder="1" applyAlignment="1">
      <alignment horizontal="left" vertical="top" wrapText="1"/>
    </xf>
    <xf numFmtId="0" fontId="11" fillId="0" borderId="0" xfId="0" applyFont="1" applyAlignment="1">
      <alignment horizontal="left" vertical="top" wrapText="1"/>
    </xf>
    <xf numFmtId="0" fontId="11" fillId="0" borderId="13" xfId="0" applyFont="1" applyBorder="1" applyAlignment="1">
      <alignment horizontal="left" vertical="top" wrapText="1"/>
    </xf>
    <xf numFmtId="0" fontId="11" fillId="0" borderId="30" xfId="0" applyFont="1" applyBorder="1" applyAlignment="1">
      <alignment horizontal="left" vertical="top" wrapText="1"/>
    </xf>
    <xf numFmtId="0" fontId="11" fillId="0" borderId="27" xfId="0" applyFont="1" applyBorder="1" applyAlignment="1">
      <alignment horizontal="left" vertical="top" wrapText="1"/>
    </xf>
    <xf numFmtId="0" fontId="11" fillId="0" borderId="31" xfId="0" applyFont="1" applyBorder="1" applyAlignment="1">
      <alignment horizontal="left" vertical="top" wrapText="1"/>
    </xf>
    <xf numFmtId="0" fontId="5" fillId="0" borderId="19" xfId="0" applyFont="1" applyBorder="1" applyAlignment="1">
      <alignment horizontal="center"/>
    </xf>
    <xf numFmtId="0" fontId="5" fillId="0" borderId="20" xfId="0" applyFont="1" applyBorder="1" applyAlignment="1">
      <alignment horizontal="center"/>
    </xf>
    <xf numFmtId="0" fontId="5" fillId="0" borderId="0" xfId="0" applyFont="1" applyAlignment="1">
      <alignment horizontal="center"/>
    </xf>
    <xf numFmtId="0" fontId="5" fillId="0" borderId="13" xfId="0" applyFont="1" applyBorder="1" applyAlignment="1">
      <alignment horizontal="center"/>
    </xf>
    <xf numFmtId="0" fontId="5" fillId="0" borderId="27" xfId="0" applyFont="1" applyBorder="1" applyAlignment="1">
      <alignment horizontal="center"/>
    </xf>
    <xf numFmtId="0" fontId="5" fillId="0" borderId="31" xfId="0" applyFont="1" applyBorder="1" applyAlignment="1">
      <alignment horizontal="center"/>
    </xf>
    <xf numFmtId="0" fontId="0" fillId="0" borderId="0" xfId="0" applyAlignment="1">
      <alignment horizontal="left"/>
    </xf>
    <xf numFmtId="0" fontId="19" fillId="0" borderId="24" xfId="0" applyFont="1" applyBorder="1" applyAlignment="1">
      <alignment horizontal="center" vertical="center" wrapText="1"/>
    </xf>
    <xf numFmtId="0" fontId="19" fillId="0" borderId="19" xfId="0" applyFont="1" applyBorder="1" applyAlignment="1">
      <alignment horizontal="center" vertical="center" wrapText="1"/>
    </xf>
    <xf numFmtId="0" fontId="19" fillId="0" borderId="25" xfId="0" applyFont="1" applyBorder="1" applyAlignment="1">
      <alignment horizontal="center" vertical="center" wrapText="1"/>
    </xf>
    <xf numFmtId="0" fontId="19" fillId="0" borderId="14" xfId="0" applyFont="1" applyBorder="1" applyAlignment="1">
      <alignment horizontal="center" vertical="center" wrapText="1"/>
    </xf>
    <xf numFmtId="0" fontId="19" fillId="0" borderId="22" xfId="0" applyFont="1" applyBorder="1" applyAlignment="1">
      <alignment horizontal="center" vertical="center" wrapText="1"/>
    </xf>
    <xf numFmtId="0" fontId="19" fillId="0" borderId="15" xfId="0" applyFont="1" applyBorder="1" applyAlignment="1">
      <alignment horizontal="center" vertical="center" wrapText="1"/>
    </xf>
    <xf numFmtId="0" fontId="9" fillId="0" borderId="9" xfId="0" applyFont="1" applyBorder="1"/>
    <xf numFmtId="0" fontId="9" fillId="0" borderId="17" xfId="0" applyFont="1" applyBorder="1" applyAlignment="1">
      <alignment horizontal="left" vertical="center"/>
    </xf>
    <xf numFmtId="0" fontId="20" fillId="0" borderId="9" xfId="0" applyFont="1" applyBorder="1" applyAlignment="1">
      <alignment horizontal="left"/>
    </xf>
    <xf numFmtId="2" fontId="5" fillId="0" borderId="9" xfId="0" applyNumberFormat="1" applyFont="1" applyBorder="1" applyAlignment="1">
      <alignment horizontal="right" vertical="center"/>
    </xf>
    <xf numFmtId="2" fontId="5" fillId="0" borderId="10" xfId="0" applyNumberFormat="1" applyFont="1" applyBorder="1" applyAlignment="1">
      <alignment horizontal="right" vertical="center"/>
    </xf>
    <xf numFmtId="0" fontId="0" fillId="0" borderId="36" xfId="0" applyBorder="1" applyAlignment="1">
      <alignment horizontal="center"/>
    </xf>
    <xf numFmtId="0" fontId="0" fillId="0" borderId="36" xfId="0" applyBorder="1"/>
    <xf numFmtId="0" fontId="5" fillId="0" borderId="10" xfId="0" applyFont="1" applyBorder="1" applyAlignment="1">
      <alignment horizontal="right" vertical="center"/>
    </xf>
    <xf numFmtId="2" fontId="0" fillId="0" borderId="9" xfId="0" applyNumberFormat="1" applyBorder="1" applyAlignment="1">
      <alignment horizontal="right" vertical="top"/>
    </xf>
    <xf numFmtId="2" fontId="0" fillId="0" borderId="10" xfId="0" applyNumberFormat="1" applyBorder="1" applyAlignment="1">
      <alignment horizontal="right" vertical="top"/>
    </xf>
    <xf numFmtId="0" fontId="0" fillId="0" borderId="9" xfId="0" applyBorder="1" applyAlignment="1">
      <alignment horizontal="right"/>
    </xf>
    <xf numFmtId="9" fontId="0" fillId="0" borderId="9" xfId="0" applyNumberFormat="1" applyBorder="1" applyAlignment="1">
      <alignment horizontal="center"/>
    </xf>
    <xf numFmtId="0" fontId="0" fillId="0" borderId="9" xfId="0" applyBorder="1" applyAlignment="1">
      <alignment horizontal="center"/>
    </xf>
    <xf numFmtId="0" fontId="12" fillId="0" borderId="7" xfId="0" applyFont="1" applyBorder="1" applyAlignment="1">
      <alignment horizontal="left" vertical="center" wrapText="1"/>
    </xf>
    <xf numFmtId="0" fontId="12" fillId="0" borderId="32" xfId="0" applyFont="1" applyBorder="1" applyAlignment="1">
      <alignment horizontal="left" vertical="center" wrapText="1"/>
    </xf>
    <xf numFmtId="0" fontId="12" fillId="0" borderId="33" xfId="0" applyFont="1" applyBorder="1" applyAlignment="1">
      <alignment horizontal="left" vertical="center" wrapText="1"/>
    </xf>
    <xf numFmtId="0" fontId="12" fillId="0" borderId="1" xfId="0" applyFont="1" applyBorder="1" applyAlignment="1">
      <alignment horizontal="left" vertical="center" wrapText="1"/>
    </xf>
    <xf numFmtId="0" fontId="12" fillId="0" borderId="16" xfId="0" applyFont="1" applyBorder="1" applyAlignment="1">
      <alignment horizontal="left" vertical="center" wrapText="1"/>
    </xf>
    <xf numFmtId="0" fontId="12" fillId="0" borderId="29" xfId="0" applyFont="1" applyBorder="1" applyAlignment="1">
      <alignment horizontal="left" vertical="center" wrapText="1"/>
    </xf>
    <xf numFmtId="0" fontId="5" fillId="0" borderId="9" xfId="0" applyFont="1" applyBorder="1" applyAlignment="1">
      <alignment horizontal="left"/>
    </xf>
    <xf numFmtId="0" fontId="8" fillId="0" borderId="0" xfId="0" applyFont="1" applyAlignment="1">
      <alignment horizontal="center" vertical="center" wrapText="1"/>
    </xf>
    <xf numFmtId="0" fontId="8" fillId="0" borderId="12" xfId="0" applyFont="1" applyBorder="1" applyAlignment="1">
      <alignment horizontal="center" vertical="center" wrapText="1"/>
    </xf>
    <xf numFmtId="0" fontId="13" fillId="0" borderId="9" xfId="0" applyFont="1" applyBorder="1" applyAlignment="1">
      <alignment vertical="center"/>
    </xf>
    <xf numFmtId="0" fontId="13" fillId="0" borderId="9" xfId="0" applyFont="1" applyBorder="1" applyAlignment="1">
      <alignment horizontal="center" vertical="center"/>
    </xf>
    <xf numFmtId="0" fontId="13" fillId="0" borderId="9" xfId="0" applyFont="1" applyBorder="1" applyAlignment="1">
      <alignment horizontal="center" vertical="center" wrapText="1"/>
    </xf>
    <xf numFmtId="0" fontId="13" fillId="0" borderId="10" xfId="0" applyFont="1" applyBorder="1" applyAlignment="1">
      <alignment horizontal="center" vertical="center" wrapText="1"/>
    </xf>
    <xf numFmtId="0" fontId="14" fillId="0" borderId="5" xfId="0" applyFont="1" applyBorder="1" applyAlignment="1">
      <alignment horizontal="center"/>
    </xf>
    <xf numFmtId="0" fontId="14" fillId="0" borderId="34" xfId="0" applyFont="1" applyBorder="1" applyAlignment="1">
      <alignment horizontal="center"/>
    </xf>
    <xf numFmtId="0" fontId="14" fillId="0" borderId="0" xfId="0" applyFont="1" applyAlignment="1">
      <alignment horizontal="center"/>
    </xf>
    <xf numFmtId="0" fontId="14" fillId="0" borderId="13" xfId="0" applyFont="1" applyBorder="1" applyAlignment="1">
      <alignment horizontal="center"/>
    </xf>
    <xf numFmtId="0" fontId="15" fillId="0" borderId="35" xfId="0" applyFont="1" applyBorder="1" applyAlignment="1">
      <alignment horizontal="center"/>
    </xf>
    <xf numFmtId="0" fontId="15" fillId="0" borderId="9" xfId="0" applyFont="1" applyBorder="1" applyAlignment="1">
      <alignment horizontal="center"/>
    </xf>
    <xf numFmtId="0" fontId="15" fillId="0" borderId="10" xfId="0" applyFont="1" applyBorder="1" applyAlignment="1">
      <alignment horizontal="center"/>
    </xf>
    <xf numFmtId="0" fontId="15" fillId="0" borderId="6" xfId="0" applyFont="1" applyBorder="1" applyAlignment="1">
      <alignment horizontal="left" vertical="top" wrapText="1"/>
    </xf>
    <xf numFmtId="0" fontId="15" fillId="0" borderId="0" xfId="0" applyFont="1" applyAlignment="1">
      <alignment horizontal="left" vertical="top" wrapText="1"/>
    </xf>
    <xf numFmtId="0" fontId="15" fillId="0" borderId="12" xfId="0" applyFont="1" applyBorder="1" applyAlignment="1">
      <alignment horizontal="left" vertical="top" wrapText="1"/>
    </xf>
    <xf numFmtId="0" fontId="16" fillId="0" borderId="35" xfId="0" applyFont="1" applyBorder="1" applyAlignment="1">
      <alignment horizontal="center" vertical="top" wrapText="1"/>
    </xf>
    <xf numFmtId="0" fontId="16" fillId="0" borderId="9" xfId="0" applyFont="1" applyBorder="1" applyAlignment="1">
      <alignment horizontal="center" vertical="top" wrapText="1"/>
    </xf>
    <xf numFmtId="0" fontId="16" fillId="0" borderId="10" xfId="0" applyFont="1" applyBorder="1" applyAlignment="1">
      <alignment horizontal="center" vertical="top" wrapText="1"/>
    </xf>
    <xf numFmtId="0" fontId="5" fillId="0" borderId="24" xfId="0" applyFont="1" applyBorder="1" applyAlignment="1">
      <alignment horizontal="left"/>
    </xf>
    <xf numFmtId="0" fontId="0" fillId="0" borderId="19" xfId="0" applyBorder="1" applyAlignment="1">
      <alignment horizontal="left"/>
    </xf>
    <xf numFmtId="0" fontId="0" fillId="0" borderId="20" xfId="0" applyBorder="1" applyAlignment="1">
      <alignment horizontal="left"/>
    </xf>
    <xf numFmtId="0" fontId="5" fillId="0" borderId="19" xfId="0" applyFont="1" applyBorder="1" applyAlignment="1">
      <alignment horizontal="left" vertical="top" wrapText="1"/>
    </xf>
    <xf numFmtId="0" fontId="5" fillId="0" borderId="20" xfId="0" applyFont="1" applyBorder="1" applyAlignment="1">
      <alignment horizontal="left" vertical="top" wrapText="1"/>
    </xf>
    <xf numFmtId="0" fontId="5" fillId="0" borderId="6" xfId="0" applyFont="1" applyBorder="1" applyAlignment="1">
      <alignment horizontal="left" vertical="top" wrapText="1"/>
    </xf>
    <xf numFmtId="0" fontId="5" fillId="0" borderId="0" xfId="0" applyFont="1" applyAlignment="1">
      <alignment horizontal="left" vertical="top" wrapText="1"/>
    </xf>
    <xf numFmtId="0" fontId="5" fillId="0" borderId="13" xfId="0" applyFont="1" applyBorder="1" applyAlignment="1">
      <alignment horizontal="left" vertical="top" wrapText="1"/>
    </xf>
    <xf numFmtId="0" fontId="5" fillId="0" borderId="21" xfId="0" applyFont="1" applyBorder="1" applyAlignment="1">
      <alignment horizontal="left" vertical="top" wrapText="1"/>
    </xf>
    <xf numFmtId="0" fontId="5" fillId="0" borderId="22" xfId="0" applyFont="1" applyBorder="1" applyAlignment="1">
      <alignment horizontal="left" vertical="top" wrapText="1"/>
    </xf>
    <xf numFmtId="0" fontId="5" fillId="0" borderId="23" xfId="0" applyFont="1" applyBorder="1" applyAlignment="1">
      <alignment horizontal="left" vertical="top" wrapText="1"/>
    </xf>
    <xf numFmtId="0" fontId="5" fillId="0" borderId="10" xfId="0" applyFont="1" applyBorder="1" applyAlignment="1">
      <alignment horizontal="left"/>
    </xf>
    <xf numFmtId="0" fontId="5" fillId="0" borderId="9" xfId="0" applyFont="1" applyBorder="1" applyAlignment="1">
      <alignment horizontal="center"/>
    </xf>
    <xf numFmtId="0" fontId="5" fillId="0" borderId="10" xfId="0" applyFont="1" applyBorder="1" applyAlignment="1">
      <alignment horizontal="center"/>
    </xf>
    <xf numFmtId="0" fontId="17" fillId="0" borderId="35" xfId="0" applyFont="1" applyBorder="1" applyAlignment="1">
      <alignment horizontal="center" vertical="center" wrapText="1"/>
    </xf>
    <xf numFmtId="0" fontId="15" fillId="0" borderId="9" xfId="0" applyFont="1" applyBorder="1" applyAlignment="1">
      <alignment horizontal="center" vertical="center" wrapText="1"/>
    </xf>
    <xf numFmtId="0" fontId="15" fillId="0" borderId="37" xfId="0" applyFont="1" applyBorder="1" applyAlignment="1">
      <alignment horizontal="center" vertical="center" wrapText="1"/>
    </xf>
    <xf numFmtId="0" fontId="5" fillId="0" borderId="35" xfId="0" applyFont="1" applyBorder="1" applyAlignment="1">
      <alignment horizontal="left" vertical="top"/>
    </xf>
    <xf numFmtId="0" fontId="5" fillId="0" borderId="9" xfId="0" applyFont="1" applyBorder="1" applyAlignment="1">
      <alignment horizontal="left" vertical="top"/>
    </xf>
    <xf numFmtId="0" fontId="5" fillId="0" borderId="35" xfId="0" applyFont="1" applyBorder="1" applyAlignment="1">
      <alignment horizontal="left"/>
    </xf>
    <xf numFmtId="0" fontId="5" fillId="0" borderId="10" xfId="0" applyFont="1" applyBorder="1" applyAlignment="1">
      <alignment horizontal="left" vertical="top"/>
    </xf>
    <xf numFmtId="0" fontId="18" fillId="0" borderId="35" xfId="0" applyFont="1" applyBorder="1" applyAlignment="1">
      <alignment horizontal="center" vertical="center"/>
    </xf>
    <xf numFmtId="0" fontId="18" fillId="0" borderId="9" xfId="0" applyFont="1" applyBorder="1" applyAlignment="1">
      <alignment horizontal="center" vertical="center"/>
    </xf>
    <xf numFmtId="0" fontId="18" fillId="0" borderId="10" xfId="0" applyFont="1" applyBorder="1" applyAlignment="1">
      <alignment horizontal="center" vertical="center"/>
    </xf>
    <xf numFmtId="0" fontId="5" fillId="0" borderId="35" xfId="0" applyFont="1" applyBorder="1" applyAlignment="1">
      <alignment horizontal="center"/>
    </xf>
    <xf numFmtId="0" fontId="5" fillId="0" borderId="24" xfId="0" applyFont="1" applyBorder="1" applyAlignment="1">
      <alignment horizontal="left" vertical="top" wrapText="1"/>
    </xf>
    <xf numFmtId="0" fontId="5" fillId="0" borderId="25" xfId="0" applyFont="1" applyBorder="1" applyAlignment="1">
      <alignment horizontal="left" vertical="top" wrapText="1"/>
    </xf>
    <xf numFmtId="0" fontId="5" fillId="0" borderId="11" xfId="0" applyFont="1" applyBorder="1" applyAlignment="1">
      <alignment horizontal="left" vertical="top" wrapText="1"/>
    </xf>
    <xf numFmtId="0" fontId="5" fillId="0" borderId="12" xfId="0" applyFont="1" applyBorder="1" applyAlignment="1">
      <alignment horizontal="left" vertical="top" wrapText="1"/>
    </xf>
    <xf numFmtId="0" fontId="5" fillId="0" borderId="14" xfId="0" applyFont="1" applyBorder="1" applyAlignment="1">
      <alignment horizontal="left" vertical="top" wrapText="1"/>
    </xf>
    <xf numFmtId="0" fontId="5" fillId="0" borderId="15"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66675</xdr:colOff>
      <xdr:row>0</xdr:row>
      <xdr:rowOff>57150</xdr:rowOff>
    </xdr:from>
    <xdr:to>
      <xdr:col>1</xdr:col>
      <xdr:colOff>609600</xdr:colOff>
      <xdr:row>4</xdr:row>
      <xdr:rowOff>180975</xdr:rowOff>
    </xdr:to>
    <xdr:pic>
      <xdr:nvPicPr>
        <xdr:cNvPr id="1035" name="Picture 4" descr="Lamitech logo.jpg">
          <a:extLst>
            <a:ext uri="{FF2B5EF4-FFF2-40B4-BE49-F238E27FC236}">
              <a16:creationId xmlns:a16="http://schemas.microsoft.com/office/drawing/2014/main" id="{00000000-0008-0000-0000-00000B040000}"/>
            </a:ext>
          </a:extLst>
        </xdr:cNvPr>
        <xdr:cNvPicPr>
          <a:picLocks noChangeAspect="1"/>
        </xdr:cNvPicPr>
      </xdr:nvPicPr>
      <xdr:blipFill>
        <a:blip xmlns:r="http://schemas.openxmlformats.org/officeDocument/2006/relationships" r:embed="rId1"/>
        <a:srcRect/>
        <a:stretch>
          <a:fillRect/>
        </a:stretch>
      </xdr:blipFill>
      <xdr:spPr bwMode="auto">
        <a:xfrm>
          <a:off x="66675" y="57150"/>
          <a:ext cx="762000" cy="800100"/>
        </a:xfrm>
        <a:prstGeom prst="rect">
          <a:avLst/>
        </a:prstGeom>
        <a:noFill/>
        <a:ln w="9525">
          <a:noFill/>
          <a:miter lim="800000"/>
          <a:headEnd/>
          <a:tailEnd/>
        </a:ln>
      </xdr:spPr>
    </xdr:pic>
    <xdr:clientData/>
  </xdr:twoCellAnchor>
  <xdr:twoCellAnchor editAs="oneCell">
    <xdr:from>
      <xdr:col>1</xdr:col>
      <xdr:colOff>762000</xdr:colOff>
      <xdr:row>0</xdr:row>
      <xdr:rowOff>152400</xdr:rowOff>
    </xdr:from>
    <xdr:to>
      <xdr:col>11</xdr:col>
      <xdr:colOff>295275</xdr:colOff>
      <xdr:row>3</xdr:row>
      <xdr:rowOff>161925</xdr:rowOff>
    </xdr:to>
    <xdr:pic>
      <xdr:nvPicPr>
        <xdr:cNvPr id="1036" name="Picture 5" descr="Name.jpg">
          <a:extLst>
            <a:ext uri="{FF2B5EF4-FFF2-40B4-BE49-F238E27FC236}">
              <a16:creationId xmlns:a16="http://schemas.microsoft.com/office/drawing/2014/main" id="{00000000-0008-0000-0000-00000C040000}"/>
            </a:ext>
          </a:extLst>
        </xdr:cNvPr>
        <xdr:cNvPicPr>
          <a:picLocks noChangeAspect="1"/>
        </xdr:cNvPicPr>
      </xdr:nvPicPr>
      <xdr:blipFill>
        <a:blip xmlns:r="http://schemas.openxmlformats.org/officeDocument/2006/relationships" r:embed="rId2"/>
        <a:srcRect/>
        <a:stretch>
          <a:fillRect/>
        </a:stretch>
      </xdr:blipFill>
      <xdr:spPr bwMode="auto">
        <a:xfrm>
          <a:off x="981075" y="142875"/>
          <a:ext cx="3914775" cy="46672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52"/>
  <sheetViews>
    <sheetView tabSelected="1" topLeftCell="A24" workbookViewId="0">
      <selection activeCell="G47" sqref="G47:I52"/>
    </sheetView>
  </sheetViews>
  <sheetFormatPr defaultRowHeight="14.4" x14ac:dyDescent="0.3"/>
  <cols>
    <col min="1" max="1" width="3.21875" customWidth="1"/>
    <col min="2" max="2" width="13.77734375" customWidth="1"/>
    <col min="3" max="3" width="9.5546875" customWidth="1"/>
    <col min="4" max="4" width="3.21875" customWidth="1"/>
    <col min="5" max="5" width="4.21875" customWidth="1"/>
    <col min="6" max="6" width="4.44140625" customWidth="1"/>
    <col min="7" max="7" width="7.77734375" customWidth="1"/>
    <col min="8" max="8" width="3.21875" customWidth="1"/>
    <col min="9" max="9" width="7.44140625" customWidth="1"/>
    <col min="10" max="10" width="2.77734375" customWidth="1"/>
    <col min="11" max="11" width="9.21875" customWidth="1"/>
    <col min="12" max="12" width="5" customWidth="1"/>
    <col min="13" max="13" width="3" customWidth="1"/>
    <col min="14" max="14" width="5.77734375" customWidth="1"/>
    <col min="15" max="15" width="6.21875" customWidth="1"/>
    <col min="16" max="16" width="9.21875" customWidth="1"/>
    <col min="19" max="19" width="4.5546875" customWidth="1"/>
  </cols>
  <sheetData>
    <row r="1" spans="1:18" ht="11.55" customHeight="1" x14ac:dyDescent="0.3">
      <c r="A1" s="6"/>
      <c r="B1" s="7"/>
      <c r="C1" s="118"/>
      <c r="D1" s="118"/>
      <c r="E1" s="118"/>
      <c r="F1" s="118"/>
      <c r="G1" s="118"/>
      <c r="H1" s="118"/>
      <c r="I1" s="118"/>
      <c r="J1" s="118"/>
      <c r="K1" s="118"/>
      <c r="L1" s="119"/>
      <c r="M1" s="9"/>
      <c r="N1" s="105" t="s">
        <v>10</v>
      </c>
      <c r="O1" s="106"/>
      <c r="P1" s="107"/>
    </row>
    <row r="2" spans="1:18" ht="12.6" customHeight="1" x14ac:dyDescent="0.3">
      <c r="A2" s="8"/>
      <c r="C2" s="120"/>
      <c r="D2" s="120"/>
      <c r="E2" s="120"/>
      <c r="F2" s="120"/>
      <c r="G2" s="120"/>
      <c r="H2" s="120"/>
      <c r="I2" s="120"/>
      <c r="J2" s="120"/>
      <c r="K2" s="120"/>
      <c r="L2" s="121"/>
      <c r="M2" s="2"/>
      <c r="N2" s="108" t="s">
        <v>11</v>
      </c>
      <c r="O2" s="109"/>
      <c r="P2" s="110"/>
    </row>
    <row r="3" spans="1:18" ht="12" customHeight="1" x14ac:dyDescent="0.3">
      <c r="A3" s="8"/>
      <c r="C3" s="120"/>
      <c r="D3" s="120"/>
      <c r="E3" s="120"/>
      <c r="F3" s="120"/>
      <c r="G3" s="120"/>
      <c r="H3" s="120"/>
      <c r="I3" s="120"/>
      <c r="J3" s="120"/>
      <c r="K3" s="120"/>
      <c r="L3" s="121"/>
      <c r="M3" s="11"/>
      <c r="N3" s="108" t="s">
        <v>21</v>
      </c>
      <c r="O3" s="109"/>
      <c r="P3" s="110"/>
    </row>
    <row r="4" spans="1:18" ht="18.600000000000001" customHeight="1" x14ac:dyDescent="0.3">
      <c r="A4" s="8"/>
      <c r="C4" s="120"/>
      <c r="D4" s="120"/>
      <c r="E4" s="120"/>
      <c r="F4" s="120"/>
      <c r="G4" s="120"/>
      <c r="H4" s="120"/>
      <c r="I4" s="120"/>
      <c r="J4" s="120"/>
      <c r="K4" s="120"/>
      <c r="L4" s="120"/>
      <c r="M4" s="112"/>
      <c r="N4" s="112"/>
      <c r="O4" s="112"/>
      <c r="P4" s="113"/>
    </row>
    <row r="5" spans="1:18" ht="20.55" customHeight="1" x14ac:dyDescent="0.3">
      <c r="A5" s="125" t="s">
        <v>22</v>
      </c>
      <c r="B5" s="126"/>
      <c r="C5" s="126"/>
      <c r="D5" s="126"/>
      <c r="E5" s="126"/>
      <c r="F5" s="126"/>
      <c r="G5" s="126"/>
      <c r="H5" s="126"/>
      <c r="I5" s="126"/>
      <c r="J5" s="126"/>
      <c r="K5" s="126"/>
      <c r="L5" s="126"/>
      <c r="M5" s="126"/>
      <c r="N5" s="126"/>
      <c r="O5" s="126"/>
      <c r="P5" s="127"/>
    </row>
    <row r="6" spans="1:18" s="1" customFormat="1" ht="44.55" customHeight="1" x14ac:dyDescent="0.3">
      <c r="A6" s="128" t="s">
        <v>23</v>
      </c>
      <c r="B6" s="129"/>
      <c r="C6" s="129"/>
      <c r="D6" s="129"/>
      <c r="E6" s="129"/>
      <c r="F6" s="129"/>
      <c r="G6" s="129"/>
      <c r="H6" s="129"/>
      <c r="I6" s="129"/>
      <c r="J6" s="129"/>
      <c r="K6" s="129"/>
      <c r="L6" s="129"/>
      <c r="M6" s="129"/>
      <c r="N6" s="129"/>
      <c r="O6" s="129"/>
      <c r="P6" s="130"/>
      <c r="R6" s="5"/>
    </row>
    <row r="7" spans="1:18" ht="18" x14ac:dyDescent="0.35">
      <c r="A7" s="122" t="s">
        <v>18</v>
      </c>
      <c r="B7" s="123"/>
      <c r="C7" s="123"/>
      <c r="D7" s="123"/>
      <c r="E7" s="123"/>
      <c r="F7" s="123"/>
      <c r="G7" s="123"/>
      <c r="H7" s="123"/>
      <c r="I7" s="123"/>
      <c r="J7" s="123"/>
      <c r="K7" s="123"/>
      <c r="L7" s="123"/>
      <c r="M7" s="123"/>
      <c r="N7" s="123"/>
      <c r="O7" s="123"/>
      <c r="P7" s="124"/>
    </row>
    <row r="8" spans="1:18" ht="11.25" customHeight="1" x14ac:dyDescent="0.3">
      <c r="A8" s="152" t="s">
        <v>0</v>
      </c>
      <c r="B8" s="153"/>
      <c r="C8" s="153"/>
      <c r="D8" s="153"/>
      <c r="E8" s="153"/>
      <c r="F8" s="153"/>
      <c r="G8" s="153"/>
      <c r="H8" s="153"/>
      <c r="I8" s="153"/>
      <c r="J8" s="153"/>
      <c r="K8" s="153"/>
      <c r="L8" s="153"/>
      <c r="M8" s="153"/>
      <c r="N8" s="153"/>
      <c r="O8" s="153"/>
      <c r="P8" s="154"/>
    </row>
    <row r="9" spans="1:18" ht="11.25" customHeight="1" x14ac:dyDescent="0.3">
      <c r="A9" s="152"/>
      <c r="B9" s="153"/>
      <c r="C9" s="153"/>
      <c r="D9" s="153"/>
      <c r="E9" s="153"/>
      <c r="F9" s="153"/>
      <c r="G9" s="153"/>
      <c r="H9" s="153"/>
      <c r="I9" s="153"/>
      <c r="J9" s="153"/>
      <c r="K9" s="153"/>
      <c r="L9" s="153"/>
      <c r="M9" s="153"/>
      <c r="N9" s="153"/>
      <c r="O9" s="153"/>
      <c r="P9" s="154"/>
    </row>
    <row r="10" spans="1:18" x14ac:dyDescent="0.3">
      <c r="A10" s="148" t="s">
        <v>40</v>
      </c>
      <c r="B10" s="149"/>
      <c r="C10" s="149"/>
      <c r="D10" s="149"/>
      <c r="E10" s="149"/>
      <c r="F10" s="149"/>
      <c r="G10" s="149"/>
      <c r="H10" s="149"/>
      <c r="I10" s="111" t="s">
        <v>42</v>
      </c>
      <c r="J10" s="111"/>
      <c r="K10" s="111"/>
      <c r="L10" s="111"/>
      <c r="M10" s="111"/>
      <c r="N10" s="111"/>
      <c r="O10" s="111"/>
      <c r="P10" s="142"/>
    </row>
    <row r="11" spans="1:18" x14ac:dyDescent="0.3">
      <c r="A11" s="148" t="s">
        <v>41</v>
      </c>
      <c r="B11" s="149"/>
      <c r="C11" s="149"/>
      <c r="D11" s="149"/>
      <c r="E11" s="149"/>
      <c r="F11" s="149"/>
      <c r="G11" s="149"/>
      <c r="H11" s="149"/>
      <c r="I11" s="111" t="s">
        <v>43</v>
      </c>
      <c r="J11" s="111"/>
      <c r="K11" s="111"/>
      <c r="L11" s="111"/>
      <c r="M11" s="111"/>
      <c r="N11" s="111"/>
      <c r="O11" s="111"/>
      <c r="P11" s="142"/>
    </row>
    <row r="12" spans="1:18" x14ac:dyDescent="0.3">
      <c r="A12" s="148" t="s">
        <v>1</v>
      </c>
      <c r="B12" s="149"/>
      <c r="C12" s="149"/>
      <c r="D12" s="149"/>
      <c r="E12" s="149"/>
      <c r="F12" s="149"/>
      <c r="G12" s="149"/>
      <c r="H12" s="16" t="s">
        <v>2</v>
      </c>
      <c r="I12" s="111" t="s">
        <v>44</v>
      </c>
      <c r="J12" s="111"/>
      <c r="K12" s="111"/>
      <c r="L12" s="111"/>
      <c r="M12" s="111"/>
      <c r="N12" s="111"/>
      <c r="O12" s="111"/>
      <c r="P12" s="142"/>
    </row>
    <row r="13" spans="1:18" x14ac:dyDescent="0.3">
      <c r="A13" s="148" t="s">
        <v>34</v>
      </c>
      <c r="B13" s="149"/>
      <c r="C13" s="149"/>
      <c r="D13" s="149"/>
      <c r="E13" s="149"/>
      <c r="F13" s="149"/>
      <c r="G13" s="12" t="s">
        <v>3</v>
      </c>
      <c r="H13" s="12">
        <v>27</v>
      </c>
      <c r="I13" s="111" t="s">
        <v>49</v>
      </c>
      <c r="J13" s="111"/>
      <c r="K13" s="111"/>
      <c r="L13" s="111"/>
      <c r="M13" s="111"/>
      <c r="N13" s="111"/>
      <c r="O13" s="111"/>
      <c r="P13" s="142"/>
    </row>
    <row r="14" spans="1:18" x14ac:dyDescent="0.3">
      <c r="A14" s="150" t="s">
        <v>16</v>
      </c>
      <c r="B14" s="111"/>
      <c r="C14" s="104" t="s">
        <v>47</v>
      </c>
      <c r="D14" s="143"/>
      <c r="E14" s="143"/>
      <c r="F14" s="143"/>
      <c r="G14" s="143"/>
      <c r="H14" s="143"/>
      <c r="I14" s="111" t="s">
        <v>17</v>
      </c>
      <c r="J14" s="111"/>
      <c r="K14" s="104" t="s">
        <v>48</v>
      </c>
      <c r="L14" s="143"/>
      <c r="M14" s="143"/>
      <c r="N14" s="143"/>
      <c r="O14" s="143"/>
      <c r="P14" s="144"/>
    </row>
    <row r="15" spans="1:18" x14ac:dyDescent="0.3">
      <c r="A15" s="155" t="s">
        <v>31</v>
      </c>
      <c r="B15" s="143"/>
      <c r="C15" s="143"/>
      <c r="D15" s="143"/>
      <c r="E15" s="143"/>
      <c r="F15" s="143"/>
      <c r="G15" s="143"/>
      <c r="H15" s="143"/>
      <c r="I15" s="143" t="s">
        <v>32</v>
      </c>
      <c r="J15" s="143"/>
      <c r="K15" s="143"/>
      <c r="L15" s="143"/>
      <c r="M15" s="143"/>
      <c r="N15" s="143"/>
      <c r="O15" s="143"/>
      <c r="P15" s="144"/>
    </row>
    <row r="16" spans="1:18" x14ac:dyDescent="0.3">
      <c r="A16" s="150" t="s">
        <v>36</v>
      </c>
      <c r="B16" s="111"/>
      <c r="C16" s="111"/>
      <c r="D16" s="111"/>
      <c r="E16" s="111"/>
      <c r="F16" s="111"/>
      <c r="G16" s="111"/>
      <c r="H16" s="111"/>
      <c r="I16" s="111" t="s">
        <v>36</v>
      </c>
      <c r="J16" s="111"/>
      <c r="K16" s="111"/>
      <c r="L16" s="111"/>
      <c r="M16" s="111"/>
      <c r="N16" s="111"/>
      <c r="O16" s="111"/>
      <c r="P16" s="142"/>
    </row>
    <row r="17" spans="1:16" x14ac:dyDescent="0.3">
      <c r="A17" s="55" t="s">
        <v>37</v>
      </c>
      <c r="B17" s="134"/>
      <c r="C17" s="134"/>
      <c r="D17" s="134"/>
      <c r="E17" s="134"/>
      <c r="F17" s="134"/>
      <c r="G17" s="134"/>
      <c r="H17" s="135"/>
      <c r="I17" s="156" t="s">
        <v>39</v>
      </c>
      <c r="J17" s="134"/>
      <c r="K17" s="134"/>
      <c r="L17" s="134"/>
      <c r="M17" s="134"/>
      <c r="N17" s="134"/>
      <c r="O17" s="134"/>
      <c r="P17" s="157"/>
    </row>
    <row r="18" spans="1:16" x14ac:dyDescent="0.3">
      <c r="A18" s="136"/>
      <c r="B18" s="137"/>
      <c r="C18" s="137"/>
      <c r="D18" s="137"/>
      <c r="E18" s="137"/>
      <c r="F18" s="137"/>
      <c r="G18" s="137"/>
      <c r="H18" s="138"/>
      <c r="I18" s="158"/>
      <c r="J18" s="137"/>
      <c r="K18" s="137"/>
      <c r="L18" s="137"/>
      <c r="M18" s="137"/>
      <c r="N18" s="137"/>
      <c r="O18" s="137"/>
      <c r="P18" s="159"/>
    </row>
    <row r="19" spans="1:16" ht="13.95" customHeight="1" x14ac:dyDescent="0.3">
      <c r="A19" s="136"/>
      <c r="B19" s="137"/>
      <c r="C19" s="137"/>
      <c r="D19" s="137"/>
      <c r="E19" s="137"/>
      <c r="F19" s="137"/>
      <c r="G19" s="137"/>
      <c r="H19" s="138"/>
      <c r="I19" s="158"/>
      <c r="J19" s="137"/>
      <c r="K19" s="137"/>
      <c r="L19" s="137"/>
      <c r="M19" s="137"/>
      <c r="N19" s="137"/>
      <c r="O19" s="137"/>
      <c r="P19" s="159"/>
    </row>
    <row r="20" spans="1:16" x14ac:dyDescent="0.3">
      <c r="A20" s="139"/>
      <c r="B20" s="140"/>
      <c r="C20" s="140"/>
      <c r="D20" s="140"/>
      <c r="E20" s="140"/>
      <c r="F20" s="140"/>
      <c r="G20" s="140"/>
      <c r="H20" s="141"/>
      <c r="I20" s="160"/>
      <c r="J20" s="140"/>
      <c r="K20" s="140"/>
      <c r="L20" s="140"/>
      <c r="M20" s="140"/>
      <c r="N20" s="140"/>
      <c r="O20" s="140"/>
      <c r="P20" s="161"/>
    </row>
    <row r="21" spans="1:16" x14ac:dyDescent="0.3">
      <c r="A21" s="148" t="s">
        <v>38</v>
      </c>
      <c r="B21" s="149"/>
      <c r="C21" s="149"/>
      <c r="D21" s="149"/>
      <c r="E21" s="149"/>
      <c r="F21" s="149"/>
      <c r="G21" s="149"/>
      <c r="H21" s="149"/>
      <c r="I21" s="149" t="s">
        <v>38</v>
      </c>
      <c r="J21" s="149"/>
      <c r="K21" s="149"/>
      <c r="L21" s="149"/>
      <c r="M21" s="149"/>
      <c r="N21" s="149"/>
      <c r="O21" s="149"/>
      <c r="P21" s="151"/>
    </row>
    <row r="22" spans="1:16" x14ac:dyDescent="0.3">
      <c r="A22" s="150" t="s">
        <v>35</v>
      </c>
      <c r="B22" s="111"/>
      <c r="C22" s="111"/>
      <c r="D22" s="111"/>
      <c r="E22" s="111"/>
      <c r="F22" s="111"/>
      <c r="G22" s="12" t="s">
        <v>3</v>
      </c>
      <c r="H22" s="12">
        <v>27</v>
      </c>
      <c r="I22" s="111" t="s">
        <v>35</v>
      </c>
      <c r="J22" s="111"/>
      <c r="K22" s="111"/>
      <c r="L22" s="111"/>
      <c r="M22" s="111"/>
      <c r="N22" s="111"/>
      <c r="O22" s="12" t="s">
        <v>3</v>
      </c>
      <c r="P22" s="13">
        <v>27</v>
      </c>
    </row>
    <row r="23" spans="1:16" ht="15" customHeight="1" x14ac:dyDescent="0.3">
      <c r="A23" s="145" t="s">
        <v>4</v>
      </c>
      <c r="B23" s="146" t="s">
        <v>5</v>
      </c>
      <c r="C23" s="146"/>
      <c r="D23" s="146"/>
      <c r="E23" s="146"/>
      <c r="F23" s="146"/>
      <c r="G23" s="146"/>
      <c r="H23" s="146"/>
      <c r="I23" s="116" t="s">
        <v>14</v>
      </c>
      <c r="J23" s="116"/>
      <c r="K23" s="115" t="s">
        <v>12</v>
      </c>
      <c r="L23" s="114" t="s">
        <v>15</v>
      </c>
      <c r="M23" s="115" t="s">
        <v>20</v>
      </c>
      <c r="N23" s="115"/>
      <c r="O23" s="116" t="s">
        <v>13</v>
      </c>
      <c r="P23" s="117"/>
    </row>
    <row r="24" spans="1:16" ht="15.75" customHeight="1" x14ac:dyDescent="0.3">
      <c r="A24" s="145"/>
      <c r="B24" s="147"/>
      <c r="C24" s="147"/>
      <c r="D24" s="147"/>
      <c r="E24" s="147"/>
      <c r="F24" s="147"/>
      <c r="G24" s="147"/>
      <c r="H24" s="147"/>
      <c r="I24" s="116"/>
      <c r="J24" s="116"/>
      <c r="K24" s="115"/>
      <c r="L24" s="114"/>
      <c r="M24" s="115"/>
      <c r="N24" s="115"/>
      <c r="O24" s="116"/>
      <c r="P24" s="117"/>
    </row>
    <row r="25" spans="1:16" x14ac:dyDescent="0.3">
      <c r="A25" s="8">
        <v>1</v>
      </c>
      <c r="B25" s="131" t="s">
        <v>45</v>
      </c>
      <c r="C25" s="132"/>
      <c r="D25" s="132"/>
      <c r="E25" s="132"/>
      <c r="F25" s="132"/>
      <c r="G25" s="132"/>
      <c r="H25" s="133"/>
      <c r="I25" s="85">
        <v>3907</v>
      </c>
      <c r="J25" s="23"/>
      <c r="K25" s="15">
        <v>70</v>
      </c>
      <c r="L25" s="14" t="s">
        <v>30</v>
      </c>
      <c r="M25" s="17">
        <v>276</v>
      </c>
      <c r="N25" s="18"/>
      <c r="O25" s="44">
        <f>K25*M25</f>
        <v>19320</v>
      </c>
      <c r="P25" s="45"/>
    </row>
    <row r="26" spans="1:16" x14ac:dyDescent="0.3">
      <c r="A26" s="8"/>
      <c r="B26" s="21"/>
      <c r="C26" s="22"/>
      <c r="D26" s="22"/>
      <c r="E26" s="22"/>
      <c r="F26" s="22"/>
      <c r="G26" s="22"/>
      <c r="H26" s="23"/>
      <c r="I26" s="85"/>
      <c r="J26" s="23"/>
      <c r="K26" s="15"/>
      <c r="L26" s="14"/>
      <c r="M26" s="17"/>
      <c r="N26" s="18"/>
      <c r="O26" s="44"/>
      <c r="P26" s="45"/>
    </row>
    <row r="27" spans="1:16" x14ac:dyDescent="0.3">
      <c r="A27" s="8"/>
      <c r="B27" s="21"/>
      <c r="C27" s="22"/>
      <c r="D27" s="22"/>
      <c r="E27" s="22"/>
      <c r="F27" s="22"/>
      <c r="G27" s="22"/>
      <c r="H27" s="23"/>
      <c r="I27" s="85"/>
      <c r="J27" s="23"/>
      <c r="K27" s="15"/>
      <c r="L27" s="14"/>
      <c r="M27" s="17"/>
      <c r="N27" s="18"/>
      <c r="O27" s="44"/>
      <c r="P27" s="45"/>
    </row>
    <row r="28" spans="1:16" x14ac:dyDescent="0.3">
      <c r="A28" s="8"/>
      <c r="B28" s="21"/>
      <c r="C28" s="85"/>
      <c r="D28" s="85"/>
      <c r="E28" s="85"/>
      <c r="F28" s="85"/>
      <c r="G28" s="85"/>
      <c r="H28" s="23"/>
      <c r="I28" s="85"/>
      <c r="J28" s="23"/>
      <c r="K28" s="15"/>
      <c r="L28" s="14"/>
      <c r="M28" s="17"/>
      <c r="N28" s="18"/>
      <c r="O28" s="44"/>
      <c r="P28" s="45"/>
    </row>
    <row r="29" spans="1:16" x14ac:dyDescent="0.3">
      <c r="A29" s="10"/>
      <c r="B29" s="19"/>
      <c r="C29" s="37"/>
      <c r="D29" s="37"/>
      <c r="E29" s="37"/>
      <c r="F29" s="37"/>
      <c r="G29" s="37"/>
      <c r="H29" s="20"/>
      <c r="I29" s="19"/>
      <c r="J29" s="20"/>
      <c r="K29" s="3"/>
      <c r="L29" s="3"/>
      <c r="M29" s="19"/>
      <c r="N29" s="20"/>
      <c r="O29" s="40"/>
      <c r="P29" s="41"/>
    </row>
    <row r="30" spans="1:16" x14ac:dyDescent="0.3">
      <c r="A30" s="10"/>
      <c r="B30" s="19"/>
      <c r="C30" s="37"/>
      <c r="D30" s="37"/>
      <c r="E30" s="37"/>
      <c r="F30" s="37"/>
      <c r="G30" s="37"/>
      <c r="H30" s="20"/>
      <c r="K30" s="3"/>
      <c r="L30" s="3"/>
      <c r="M30" s="19"/>
      <c r="N30" s="20"/>
      <c r="O30" s="40"/>
      <c r="P30" s="41"/>
    </row>
    <row r="31" spans="1:16" x14ac:dyDescent="0.3">
      <c r="A31" s="10"/>
      <c r="B31" s="19"/>
      <c r="C31" s="37"/>
      <c r="D31" s="37"/>
      <c r="E31" s="37"/>
      <c r="F31" s="37"/>
      <c r="G31" s="37"/>
      <c r="H31" s="20"/>
      <c r="I31" s="19"/>
      <c r="J31" s="20"/>
      <c r="K31" s="3"/>
      <c r="L31" s="3"/>
      <c r="M31" s="19"/>
      <c r="N31" s="20"/>
      <c r="O31" s="40"/>
      <c r="P31" s="41"/>
    </row>
    <row r="32" spans="1:16" x14ac:dyDescent="0.3">
      <c r="A32" s="10"/>
      <c r="B32" s="19"/>
      <c r="C32" s="37"/>
      <c r="D32" s="37"/>
      <c r="E32" s="37"/>
      <c r="F32" s="37"/>
      <c r="G32" s="37"/>
      <c r="H32" s="20"/>
      <c r="I32" s="19"/>
      <c r="J32" s="20"/>
      <c r="K32" s="3"/>
      <c r="L32" s="3"/>
      <c r="M32" s="19"/>
      <c r="N32" s="20"/>
      <c r="O32" s="40"/>
      <c r="P32" s="41"/>
    </row>
    <row r="33" spans="1:18" x14ac:dyDescent="0.3">
      <c r="A33" s="10"/>
      <c r="B33" s="19"/>
      <c r="C33" s="37"/>
      <c r="D33" s="37"/>
      <c r="E33" s="37"/>
      <c r="F33" s="37"/>
      <c r="G33" s="37"/>
      <c r="H33" s="20"/>
      <c r="I33" s="19"/>
      <c r="J33" s="20"/>
      <c r="K33" s="3"/>
      <c r="L33" s="3"/>
      <c r="M33" s="19"/>
      <c r="N33" s="20"/>
      <c r="O33" s="40"/>
      <c r="P33" s="41"/>
      <c r="Q33" s="19"/>
      <c r="R33" s="20"/>
    </row>
    <row r="34" spans="1:18" x14ac:dyDescent="0.3">
      <c r="A34" s="10"/>
      <c r="B34" s="19"/>
      <c r="C34" s="38"/>
      <c r="D34" s="38"/>
      <c r="E34" s="38"/>
      <c r="F34" s="38"/>
      <c r="G34" s="38"/>
      <c r="H34" s="39"/>
      <c r="I34" s="19"/>
      <c r="J34" s="20"/>
      <c r="K34" s="3"/>
      <c r="L34" s="3"/>
      <c r="M34" s="19"/>
      <c r="N34" s="20"/>
      <c r="O34" s="40"/>
      <c r="P34" s="41"/>
    </row>
    <row r="35" spans="1:18" x14ac:dyDescent="0.3">
      <c r="A35" s="10"/>
      <c r="B35" s="19"/>
      <c r="C35" s="38"/>
      <c r="D35" s="38"/>
      <c r="E35" s="38"/>
      <c r="F35" s="38"/>
      <c r="G35" s="38"/>
      <c r="H35" s="39"/>
      <c r="I35" s="19"/>
      <c r="J35" s="20"/>
      <c r="K35" s="3"/>
      <c r="L35" s="3"/>
      <c r="M35" s="19"/>
      <c r="N35" s="20"/>
      <c r="O35" s="40"/>
      <c r="P35" s="41"/>
    </row>
    <row r="36" spans="1:18" x14ac:dyDescent="0.3">
      <c r="A36" s="10"/>
      <c r="B36" s="19"/>
      <c r="C36" s="38"/>
      <c r="D36" s="38"/>
      <c r="E36" s="38"/>
      <c r="F36" s="38"/>
      <c r="G36" s="38"/>
      <c r="H36" s="39"/>
      <c r="I36" s="19"/>
      <c r="J36" s="20"/>
      <c r="K36" s="3"/>
      <c r="L36" s="3"/>
      <c r="M36" s="19"/>
      <c r="N36" s="20"/>
      <c r="O36" s="40"/>
      <c r="P36" s="41"/>
    </row>
    <row r="37" spans="1:18" x14ac:dyDescent="0.3">
      <c r="A37" s="10"/>
      <c r="B37" s="19"/>
      <c r="C37" s="38"/>
      <c r="D37" s="38"/>
      <c r="E37" s="38"/>
      <c r="F37" s="38"/>
      <c r="G37" s="38"/>
      <c r="H37" s="39"/>
      <c r="I37" s="19"/>
      <c r="J37" s="20"/>
      <c r="K37" s="3"/>
      <c r="L37" s="3"/>
      <c r="M37" s="19"/>
      <c r="N37" s="20"/>
      <c r="O37" s="42"/>
      <c r="P37" s="43"/>
    </row>
    <row r="38" spans="1:18" x14ac:dyDescent="0.3">
      <c r="A38" s="4"/>
      <c r="B38" s="97"/>
      <c r="C38" s="98"/>
      <c r="D38" s="98"/>
      <c r="E38" s="98"/>
      <c r="F38" s="98"/>
      <c r="G38" s="98"/>
      <c r="H38" s="98"/>
      <c r="I38" s="102" t="s">
        <v>33</v>
      </c>
      <c r="J38" s="102"/>
      <c r="K38" s="102"/>
      <c r="L38" s="102"/>
      <c r="M38" s="103"/>
      <c r="N38" s="104"/>
      <c r="O38" s="100"/>
      <c r="P38" s="101"/>
    </row>
    <row r="39" spans="1:18" x14ac:dyDescent="0.3">
      <c r="A39" s="27" t="s">
        <v>46</v>
      </c>
      <c r="B39" s="28"/>
      <c r="C39" s="28"/>
      <c r="D39" s="28"/>
      <c r="E39" s="28"/>
      <c r="F39" s="28"/>
      <c r="G39" s="28"/>
      <c r="H39" s="28"/>
      <c r="I39" s="29"/>
      <c r="J39" s="24" t="s">
        <v>19</v>
      </c>
      <c r="K39" s="25"/>
      <c r="L39" s="25"/>
      <c r="M39" s="25"/>
      <c r="N39" s="26"/>
      <c r="O39" s="68">
        <f>SUM(O25:O38)</f>
        <v>19320</v>
      </c>
      <c r="P39" s="69"/>
    </row>
    <row r="40" spans="1:18" x14ac:dyDescent="0.3">
      <c r="A40" s="30"/>
      <c r="B40" s="31"/>
      <c r="C40" s="31"/>
      <c r="D40" s="31"/>
      <c r="E40" s="31"/>
      <c r="F40" s="31"/>
      <c r="G40" s="31"/>
      <c r="H40" s="31"/>
      <c r="I40" s="32"/>
      <c r="J40" s="64" t="s">
        <v>27</v>
      </c>
      <c r="K40" s="65"/>
      <c r="L40" s="65"/>
      <c r="M40" s="66">
        <v>0.09</v>
      </c>
      <c r="N40" s="67"/>
      <c r="O40" s="68">
        <f>O39*M40</f>
        <v>1738.8</v>
      </c>
      <c r="P40" s="69"/>
    </row>
    <row r="41" spans="1:18" x14ac:dyDescent="0.3">
      <c r="A41" s="30"/>
      <c r="B41" s="31"/>
      <c r="C41" s="31"/>
      <c r="D41" s="31"/>
      <c r="E41" s="31"/>
      <c r="F41" s="31"/>
      <c r="G41" s="31"/>
      <c r="H41" s="31"/>
      <c r="I41" s="32"/>
      <c r="J41" s="64" t="s">
        <v>28</v>
      </c>
      <c r="K41" s="65"/>
      <c r="L41" s="65"/>
      <c r="M41" s="66">
        <v>0.09</v>
      </c>
      <c r="N41" s="67"/>
      <c r="O41" s="68">
        <f>O39*M41</f>
        <v>1738.8</v>
      </c>
      <c r="P41" s="69"/>
    </row>
    <row r="42" spans="1:18" ht="14.55" customHeight="1" x14ac:dyDescent="0.3">
      <c r="A42" s="33"/>
      <c r="B42" s="31"/>
      <c r="C42" s="31"/>
      <c r="D42" s="31"/>
      <c r="E42" s="31"/>
      <c r="F42" s="31"/>
      <c r="G42" s="31"/>
      <c r="H42" s="31"/>
      <c r="I42" s="32"/>
      <c r="J42" s="64" t="s">
        <v>26</v>
      </c>
      <c r="K42" s="65"/>
      <c r="L42" s="65"/>
      <c r="M42" s="65"/>
      <c r="N42" s="93"/>
      <c r="O42" s="68">
        <f>O40+O41</f>
        <v>3477.6</v>
      </c>
      <c r="P42" s="69"/>
    </row>
    <row r="43" spans="1:18" x14ac:dyDescent="0.3">
      <c r="A43" s="34"/>
      <c r="B43" s="35"/>
      <c r="C43" s="35"/>
      <c r="D43" s="35"/>
      <c r="E43" s="35"/>
      <c r="F43" s="35"/>
      <c r="G43" s="35"/>
      <c r="H43" s="35"/>
      <c r="I43" s="36"/>
      <c r="J43" s="92" t="s">
        <v>6</v>
      </c>
      <c r="K43" s="92"/>
      <c r="L43" s="92"/>
      <c r="M43" s="92"/>
      <c r="N43" s="92"/>
      <c r="O43" s="95">
        <f>O39+O42</f>
        <v>22797.599999999999</v>
      </c>
      <c r="P43" s="99"/>
    </row>
    <row r="44" spans="1:18" x14ac:dyDescent="0.3">
      <c r="A44" s="55" t="s">
        <v>29</v>
      </c>
      <c r="B44" s="56"/>
      <c r="C44" s="56"/>
      <c r="D44" s="56"/>
      <c r="E44" s="56"/>
      <c r="F44" s="56"/>
      <c r="G44" s="56"/>
      <c r="H44" s="56"/>
      <c r="I44" s="57"/>
      <c r="J44" s="94" t="s">
        <v>7</v>
      </c>
      <c r="K44" s="94"/>
      <c r="L44" s="94"/>
      <c r="M44" s="94"/>
      <c r="N44" s="94"/>
      <c r="O44" s="95">
        <v>0</v>
      </c>
      <c r="P44" s="96"/>
    </row>
    <row r="45" spans="1:18" x14ac:dyDescent="0.3">
      <c r="A45" s="58"/>
      <c r="B45" s="59"/>
      <c r="C45" s="59"/>
      <c r="D45" s="59"/>
      <c r="E45" s="59"/>
      <c r="F45" s="59"/>
      <c r="G45" s="59"/>
      <c r="H45" s="59"/>
      <c r="I45" s="60"/>
      <c r="J45" s="86" t="s">
        <v>8</v>
      </c>
      <c r="K45" s="87"/>
      <c r="L45" s="87"/>
      <c r="M45" s="87"/>
      <c r="N45" s="87"/>
      <c r="O45" s="87"/>
      <c r="P45" s="88"/>
    </row>
    <row r="46" spans="1:18" ht="18.75" customHeight="1" x14ac:dyDescent="0.3">
      <c r="A46" s="61"/>
      <c r="B46" s="62"/>
      <c r="C46" s="62"/>
      <c r="D46" s="62"/>
      <c r="E46" s="62"/>
      <c r="F46" s="62"/>
      <c r="G46" s="62"/>
      <c r="H46" s="62"/>
      <c r="I46" s="63"/>
      <c r="J46" s="89"/>
      <c r="K46" s="90"/>
      <c r="L46" s="90"/>
      <c r="M46" s="90"/>
      <c r="N46" s="90"/>
      <c r="O46" s="90"/>
      <c r="P46" s="91"/>
    </row>
    <row r="47" spans="1:18" ht="15" customHeight="1" x14ac:dyDescent="0.3">
      <c r="A47" s="70" t="s">
        <v>25</v>
      </c>
      <c r="B47" s="71"/>
      <c r="C47" s="71"/>
      <c r="D47" s="71"/>
      <c r="E47" s="71"/>
      <c r="F47" s="72"/>
      <c r="G47" s="79" t="s">
        <v>9</v>
      </c>
      <c r="H47" s="79"/>
      <c r="I47" s="80"/>
      <c r="J47" s="46" t="s">
        <v>24</v>
      </c>
      <c r="K47" s="47"/>
      <c r="L47" s="47"/>
      <c r="M47" s="47"/>
      <c r="N47" s="47"/>
      <c r="O47" s="47"/>
      <c r="P47" s="48"/>
    </row>
    <row r="48" spans="1:18" ht="15" customHeight="1" x14ac:dyDescent="0.3">
      <c r="A48" s="73"/>
      <c r="B48" s="74"/>
      <c r="C48" s="74"/>
      <c r="D48" s="74"/>
      <c r="E48" s="74"/>
      <c r="F48" s="75"/>
      <c r="G48" s="81"/>
      <c r="H48" s="81"/>
      <c r="I48" s="82"/>
      <c r="J48" s="49"/>
      <c r="K48" s="50"/>
      <c r="L48" s="50"/>
      <c r="M48" s="50"/>
      <c r="N48" s="50"/>
      <c r="O48" s="50"/>
      <c r="P48" s="51"/>
    </row>
    <row r="49" spans="1:16" ht="14.55" customHeight="1" x14ac:dyDescent="0.3">
      <c r="A49" s="73"/>
      <c r="B49" s="74"/>
      <c r="C49" s="74"/>
      <c r="D49" s="74"/>
      <c r="E49" s="74"/>
      <c r="F49" s="75"/>
      <c r="G49" s="81"/>
      <c r="H49" s="81"/>
      <c r="I49" s="82"/>
      <c r="J49" s="49"/>
      <c r="K49" s="50"/>
      <c r="L49" s="50"/>
      <c r="M49" s="50"/>
      <c r="N49" s="50"/>
      <c r="O49" s="50"/>
      <c r="P49" s="51"/>
    </row>
    <row r="50" spans="1:16" ht="14.55" customHeight="1" x14ac:dyDescent="0.3">
      <c r="A50" s="73"/>
      <c r="B50" s="74"/>
      <c r="C50" s="74"/>
      <c r="D50" s="74"/>
      <c r="E50" s="74"/>
      <c r="F50" s="75"/>
      <c r="G50" s="81"/>
      <c r="H50" s="81"/>
      <c r="I50" s="82"/>
      <c r="J50" s="49"/>
      <c r="K50" s="50"/>
      <c r="L50" s="50"/>
      <c r="M50" s="50"/>
      <c r="N50" s="50"/>
      <c r="O50" s="50"/>
      <c r="P50" s="51"/>
    </row>
    <row r="51" spans="1:16" ht="14.55" customHeight="1" x14ac:dyDescent="0.3">
      <c r="A51" s="73"/>
      <c r="B51" s="74"/>
      <c r="C51" s="74"/>
      <c r="D51" s="74"/>
      <c r="E51" s="74"/>
      <c r="F51" s="75"/>
      <c r="G51" s="81"/>
      <c r="H51" s="81"/>
      <c r="I51" s="82"/>
      <c r="J51" s="49"/>
      <c r="K51" s="50"/>
      <c r="L51" s="50"/>
      <c r="M51" s="50"/>
      <c r="N51" s="50"/>
      <c r="O51" s="50"/>
      <c r="P51" s="51"/>
    </row>
    <row r="52" spans="1:16" ht="15" customHeight="1" thickBot="1" x14ac:dyDescent="0.35">
      <c r="A52" s="76"/>
      <c r="B52" s="77"/>
      <c r="C52" s="77"/>
      <c r="D52" s="77"/>
      <c r="E52" s="77"/>
      <c r="F52" s="78"/>
      <c r="G52" s="83"/>
      <c r="H52" s="83"/>
      <c r="I52" s="84"/>
      <c r="J52" s="52"/>
      <c r="K52" s="53"/>
      <c r="L52" s="53"/>
      <c r="M52" s="53"/>
      <c r="N52" s="53"/>
      <c r="O52" s="53"/>
      <c r="P52" s="54"/>
    </row>
  </sheetData>
  <mergeCells count="114">
    <mergeCell ref="I15:P15"/>
    <mergeCell ref="A23:A24"/>
    <mergeCell ref="B23:H24"/>
    <mergeCell ref="A21:H21"/>
    <mergeCell ref="A22:F22"/>
    <mergeCell ref="I21:P21"/>
    <mergeCell ref="A8:P9"/>
    <mergeCell ref="A10:H10"/>
    <mergeCell ref="I10:P10"/>
    <mergeCell ref="A11:H11"/>
    <mergeCell ref="I11:P11"/>
    <mergeCell ref="A12:G12"/>
    <mergeCell ref="I12:P12"/>
    <mergeCell ref="A13:F13"/>
    <mergeCell ref="I13:P13"/>
    <mergeCell ref="A15:H15"/>
    <mergeCell ref="A16:H16"/>
    <mergeCell ref="A14:B14"/>
    <mergeCell ref="C14:H14"/>
    <mergeCell ref="I14:J14"/>
    <mergeCell ref="K14:P14"/>
    <mergeCell ref="I17:P20"/>
    <mergeCell ref="N1:P1"/>
    <mergeCell ref="N2:P2"/>
    <mergeCell ref="N3:P3"/>
    <mergeCell ref="I33:J33"/>
    <mergeCell ref="M33:N33"/>
    <mergeCell ref="O33:P33"/>
    <mergeCell ref="O28:P28"/>
    <mergeCell ref="M27:N27"/>
    <mergeCell ref="I22:N22"/>
    <mergeCell ref="M4:P4"/>
    <mergeCell ref="L23:L24"/>
    <mergeCell ref="M23:N24"/>
    <mergeCell ref="I23:J24"/>
    <mergeCell ref="K23:K24"/>
    <mergeCell ref="O23:P24"/>
    <mergeCell ref="C1:L4"/>
    <mergeCell ref="A7:P7"/>
    <mergeCell ref="A5:P5"/>
    <mergeCell ref="A6:P6"/>
    <mergeCell ref="B25:H25"/>
    <mergeCell ref="I25:J25"/>
    <mergeCell ref="A17:H20"/>
    <mergeCell ref="I16:P16"/>
    <mergeCell ref="M25:N25"/>
    <mergeCell ref="O25:P25"/>
    <mergeCell ref="M28:N28"/>
    <mergeCell ref="O39:P39"/>
    <mergeCell ref="B28:H28"/>
    <mergeCell ref="B30:H30"/>
    <mergeCell ref="B34:H34"/>
    <mergeCell ref="B35:H35"/>
    <mergeCell ref="B26:H26"/>
    <mergeCell ref="I28:J28"/>
    <mergeCell ref="B31:H31"/>
    <mergeCell ref="B32:H32"/>
    <mergeCell ref="I31:J31"/>
    <mergeCell ref="I32:J32"/>
    <mergeCell ref="M31:N31"/>
    <mergeCell ref="M32:N32"/>
    <mergeCell ref="O31:P31"/>
    <mergeCell ref="O32:P32"/>
    <mergeCell ref="B37:H37"/>
    <mergeCell ref="M34:N34"/>
    <mergeCell ref="M35:N35"/>
    <mergeCell ref="I38:L38"/>
    <mergeCell ref="M38:N38"/>
    <mergeCell ref="I34:J34"/>
    <mergeCell ref="O29:P29"/>
    <mergeCell ref="J47:P52"/>
    <mergeCell ref="A44:I46"/>
    <mergeCell ref="J40:L40"/>
    <mergeCell ref="M40:N40"/>
    <mergeCell ref="O40:P40"/>
    <mergeCell ref="O26:P26"/>
    <mergeCell ref="A47:F52"/>
    <mergeCell ref="G47:I52"/>
    <mergeCell ref="I26:J26"/>
    <mergeCell ref="I27:J27"/>
    <mergeCell ref="J45:P46"/>
    <mergeCell ref="O42:P42"/>
    <mergeCell ref="J43:N43"/>
    <mergeCell ref="J41:L41"/>
    <mergeCell ref="M41:N41"/>
    <mergeCell ref="J42:N42"/>
    <mergeCell ref="J44:N44"/>
    <mergeCell ref="O44:P44"/>
    <mergeCell ref="B38:H38"/>
    <mergeCell ref="O43:P43"/>
    <mergeCell ref="O41:P41"/>
    <mergeCell ref="O38:P38"/>
    <mergeCell ref="B29:H29"/>
    <mergeCell ref="I29:J29"/>
    <mergeCell ref="M26:N26"/>
    <mergeCell ref="M29:N29"/>
    <mergeCell ref="Q33:R33"/>
    <mergeCell ref="I35:J35"/>
    <mergeCell ref="B27:H27"/>
    <mergeCell ref="J39:N39"/>
    <mergeCell ref="A39:I43"/>
    <mergeCell ref="I36:J36"/>
    <mergeCell ref="I37:J37"/>
    <mergeCell ref="M36:N36"/>
    <mergeCell ref="B33:H33"/>
    <mergeCell ref="B36:H36"/>
    <mergeCell ref="O36:P36"/>
    <mergeCell ref="M37:N37"/>
    <mergeCell ref="O37:P37"/>
    <mergeCell ref="O27:P27"/>
    <mergeCell ref="M30:N30"/>
    <mergeCell ref="O30:P30"/>
    <mergeCell ref="O34:P34"/>
    <mergeCell ref="O35:P35"/>
  </mergeCells>
  <pageMargins left="0.19685039370078741" right="0.19685039370078741" top="0.39370078740157483" bottom="0.19685039370078741" header="0" footer="0"/>
  <pageSetup paperSize="9" pageOrder="overThenDown"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Tax Invoice - Intra State</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Kumar Chippa</cp:lastModifiedBy>
  <cp:lastPrinted>2018-02-08T01:41:11Z</cp:lastPrinted>
  <dcterms:created xsi:type="dcterms:W3CDTF">2017-06-22T18:14:43Z</dcterms:created>
  <dcterms:modified xsi:type="dcterms:W3CDTF">2026-03-27T12:36:24Z</dcterms:modified>
</cp:coreProperties>
</file>