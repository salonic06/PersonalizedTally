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GST Invoice Lamitech\2025-2026 Tax Invoice\Tax Invoice\"/>
    </mc:Choice>
  </mc:AlternateContent>
  <bookViews>
    <workbookView xWindow="0" yWindow="0" windowWidth="19872" windowHeight="7620"/>
  </bookViews>
  <sheets>
    <sheet name="Tax Invoice - Intra State" sheetId="1" r:id="rId1"/>
    <sheet name="Sheet1" sheetId="2"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28" i="1" l="1"/>
  <c r="O27" i="1" l="1"/>
  <c r="O26" i="1" l="1"/>
  <c r="O41" i="1" l="1"/>
  <c r="O42" i="1" l="1"/>
  <c r="O43" i="1" s="1"/>
</calcChain>
</file>

<file path=xl/sharedStrings.xml><?xml version="1.0" encoding="utf-8"?>
<sst xmlns="http://schemas.openxmlformats.org/spreadsheetml/2006/main" count="77" uniqueCount="52">
  <si>
    <t xml:space="preserve">Reverse Charge (Y/N): </t>
  </si>
  <si>
    <t>N</t>
  </si>
  <si>
    <t>Code</t>
  </si>
  <si>
    <t>S. No.</t>
  </si>
  <si>
    <t>Product Description</t>
  </si>
  <si>
    <t>Total Amount after Tax:</t>
  </si>
  <si>
    <t>GST on Reverse Charge</t>
  </si>
  <si>
    <t>Ceritified that the particulars given above are true and correct</t>
  </si>
  <si>
    <t>Original for Receipient</t>
  </si>
  <si>
    <t>Duplicate for Transporter</t>
  </si>
  <si>
    <t>Qty.</t>
  </si>
  <si>
    <t>Total  Amount</t>
  </si>
  <si>
    <t>HSN Code</t>
  </si>
  <si>
    <t>Unit</t>
  </si>
  <si>
    <t>P.O. No. :</t>
  </si>
  <si>
    <t xml:space="preserve">P.O. Date: </t>
  </si>
  <si>
    <t>GSTIN: 27AEPPC2120N1ZI</t>
  </si>
  <si>
    <t xml:space="preserve">Total Amount Before Tax </t>
  </si>
  <si>
    <t>Rate Rs.</t>
  </si>
  <si>
    <t>Triplicate for Supplier</t>
  </si>
  <si>
    <t xml:space="preserve">                         Leading Manufacturers of Vinyl Ester &amp; Polyester Resins</t>
  </si>
  <si>
    <t xml:space="preserve">Add: IGST </t>
  </si>
  <si>
    <r>
      <rPr>
        <b/>
        <sz val="11"/>
        <rFont val="Calibri"/>
        <family val="2"/>
        <scheme val="minor"/>
      </rPr>
      <t>Factory:</t>
    </r>
    <r>
      <rPr>
        <sz val="11"/>
        <rFont val="Calibri"/>
        <family val="2"/>
        <scheme val="minor"/>
      </rPr>
      <t xml:space="preserve"> Plot No. D-7, Supa MIDC, Taluka-Parner, Dist-Ahmednagar - 414301. Maharashtra, INDIA. 
Ph. 020-2638 1842, Mob. : +91 72760 73396, +91 94220 85806, 
</t>
    </r>
    <r>
      <rPr>
        <b/>
        <sz val="11"/>
        <rFont val="Calibri"/>
        <family val="2"/>
        <scheme val="minor"/>
      </rPr>
      <t>E-mail :</t>
    </r>
    <r>
      <rPr>
        <sz val="11"/>
        <rFont val="Calibri"/>
        <family val="2"/>
        <scheme val="minor"/>
      </rPr>
      <t xml:space="preserve"> lamitechpolymers@yahoo.com, lamitechpolymers@gmail.com, </t>
    </r>
    <r>
      <rPr>
        <b/>
        <sz val="11"/>
        <rFont val="Calibri"/>
        <family val="2"/>
        <scheme val="minor"/>
      </rPr>
      <t>Web :</t>
    </r>
    <r>
      <rPr>
        <sz val="11"/>
        <rFont val="Calibri"/>
        <family val="2"/>
        <scheme val="minor"/>
      </rPr>
      <t xml:space="preserve"> www.lamitechpolymers.com.</t>
    </r>
  </si>
  <si>
    <r>
      <rPr>
        <b/>
        <sz val="9"/>
        <color theme="1"/>
        <rFont val="Calibri"/>
        <family val="2"/>
        <scheme val="minor"/>
      </rPr>
      <t>Terms &amp; conditions :</t>
    </r>
    <r>
      <rPr>
        <sz val="9"/>
        <color theme="1"/>
        <rFont val="Calibri"/>
        <family val="2"/>
        <scheme val="minor"/>
      </rPr>
      <t xml:space="preserve"> 
1) Interest at 18% p. a.  will be charged if the invoice is not paid by due date. 
2) No claim in respect of material supplied vide this invoice will be entertained unless the same is lodged in writing within 7 days of dispatch. 
3) All our transactions are subject to Pune Jurisdiction.</t>
    </r>
  </si>
  <si>
    <t xml:space="preserve">         For LAMITECH POLYMERS  
             Authorised Signatory                                  </t>
  </si>
  <si>
    <r>
      <rPr>
        <b/>
        <sz val="11"/>
        <color theme="1"/>
        <rFont val="Calibri"/>
        <family val="2"/>
        <scheme val="minor"/>
      </rPr>
      <t xml:space="preserve">Bank Details: </t>
    </r>
    <r>
      <rPr>
        <sz val="11"/>
        <color theme="1"/>
        <rFont val="Calibri"/>
        <family val="2"/>
        <scheme val="minor"/>
      </rPr>
      <t xml:space="preserve">
Bank Name &amp; Branch : Canara Bank, Bhavani Peth Branch,
Bank A/C: 0361261004246 - IFSC: CNRB0000361</t>
    </r>
  </si>
  <si>
    <t>Billed To :</t>
  </si>
  <si>
    <t>Shipped To :</t>
  </si>
  <si>
    <t>Kg</t>
  </si>
  <si>
    <r>
      <t xml:space="preserve">State: </t>
    </r>
    <r>
      <rPr>
        <sz val="11"/>
        <color theme="1"/>
        <rFont val="Calibri"/>
        <family val="2"/>
        <scheme val="minor"/>
      </rPr>
      <t>Maharashtra</t>
    </r>
  </si>
  <si>
    <t>Freight</t>
  </si>
  <si>
    <t>]</t>
  </si>
  <si>
    <t>Name: M/s Accenture Technologies</t>
  </si>
  <si>
    <r>
      <t xml:space="preserve">GSTIN: </t>
    </r>
    <r>
      <rPr>
        <sz val="11"/>
        <color theme="1"/>
        <rFont val="Calibri"/>
        <family val="2"/>
        <scheme val="minor"/>
      </rPr>
      <t>29EDFPK1126P1Z6</t>
    </r>
  </si>
  <si>
    <r>
      <t xml:space="preserve">State: </t>
    </r>
    <r>
      <rPr>
        <sz val="11"/>
        <color theme="1"/>
        <rFont val="Calibri"/>
        <family val="2"/>
        <scheme val="minor"/>
      </rPr>
      <t>Karnataka</t>
    </r>
  </si>
  <si>
    <r>
      <t xml:space="preserve">Address: </t>
    </r>
    <r>
      <rPr>
        <sz val="11"/>
        <color theme="1"/>
        <rFont val="Calibri"/>
        <family val="2"/>
        <scheme val="minor"/>
      </rPr>
      <t>H. No. 103, Tanaji Galli, Savagaon,
Belgam, Karnataka - 590008
Mr Lakkhan - 8792914551</t>
    </r>
  </si>
  <si>
    <r>
      <t>State:</t>
    </r>
    <r>
      <rPr>
        <sz val="11"/>
        <color theme="1"/>
        <rFont val="Calibri"/>
        <family val="2"/>
        <scheme val="minor"/>
      </rPr>
      <t xml:space="preserve"> Karnataka</t>
    </r>
  </si>
  <si>
    <t>Tax Invoice</t>
  </si>
  <si>
    <t xml:space="preserve"> </t>
  </si>
  <si>
    <t xml:space="preserve">  </t>
  </si>
  <si>
    <r>
      <rPr>
        <b/>
        <sz val="11"/>
        <color theme="1"/>
        <rFont val="Calibri"/>
        <family val="2"/>
        <scheme val="minor"/>
      </rPr>
      <t>Address</t>
    </r>
    <r>
      <rPr>
        <sz val="11"/>
        <color theme="1"/>
        <rFont val="Calibri"/>
        <family val="2"/>
        <scheme val="minor"/>
      </rPr>
      <t>: Devanhali Banglore</t>
    </r>
    <r>
      <rPr>
        <sz val="11"/>
        <color theme="1"/>
        <rFont val="Calibri"/>
        <family val="2"/>
        <scheme val="minor"/>
      </rPr>
      <t xml:space="preserve"> Karnataka - 562110
Mr Lakkhan - 8792914551</t>
    </r>
  </si>
  <si>
    <r>
      <rPr>
        <b/>
        <sz val="11"/>
        <color theme="1"/>
        <rFont val="Calibri"/>
        <family val="2"/>
        <scheme val="minor"/>
      </rPr>
      <t>Place of Supply</t>
    </r>
    <r>
      <rPr>
        <sz val="11"/>
        <color theme="1"/>
        <rFont val="Calibri"/>
        <family val="2"/>
        <scheme val="minor"/>
      </rPr>
      <t xml:space="preserve"> :   Devanhali Godown</t>
    </r>
  </si>
  <si>
    <r>
      <t xml:space="preserve">Transport Mode: </t>
    </r>
    <r>
      <rPr>
        <sz val="11"/>
        <color theme="1"/>
        <rFont val="Calibri"/>
        <family val="2"/>
        <scheme val="minor"/>
      </rPr>
      <t xml:space="preserve"> ACPL Tr, To pay</t>
    </r>
  </si>
  <si>
    <r>
      <t>Payment Terms :</t>
    </r>
    <r>
      <rPr>
        <sz val="11"/>
        <color theme="1"/>
        <rFont val="Calibri"/>
        <family val="2"/>
        <scheme val="minor"/>
      </rPr>
      <t xml:space="preserve"> 30 days</t>
    </r>
  </si>
  <si>
    <t>Tax Invoice No.: 481</t>
  </si>
  <si>
    <r>
      <t xml:space="preserve">Tax Invoice Dt.: </t>
    </r>
    <r>
      <rPr>
        <sz val="11"/>
        <color theme="1"/>
        <rFont val="Calibri"/>
        <family val="2"/>
        <scheme val="minor"/>
      </rPr>
      <t>26.03.2026</t>
    </r>
  </si>
  <si>
    <t>Telephonic</t>
  </si>
  <si>
    <t>Lampol-710</t>
  </si>
  <si>
    <t xml:space="preserve">Lampol-500 </t>
  </si>
  <si>
    <t>CSM 300</t>
  </si>
  <si>
    <r>
      <t xml:space="preserve">Total Amount in Words : 
</t>
    </r>
    <r>
      <rPr>
        <sz val="11"/>
        <color theme="1"/>
        <rFont val="Arial"/>
        <family val="2"/>
      </rPr>
      <t>Rs Two Lakh Forty Two Thousand Nine Hundred Twenty Six  and Sixty Paise Only</t>
    </r>
    <r>
      <rPr>
        <b/>
        <sz val="11"/>
        <color theme="1"/>
        <rFont val="Arial"/>
        <family val="2"/>
      </rPr>
      <t xml:space="preserve">
</t>
    </r>
  </si>
  <si>
    <r>
      <t xml:space="preserve">E Way Bill No:  </t>
    </r>
    <r>
      <rPr>
        <sz val="11"/>
        <color theme="1"/>
        <rFont val="Calibri"/>
        <family val="2"/>
        <scheme val="minor"/>
      </rPr>
      <t>2221 6877 2306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</si>
</sst>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8" x14ac:knownFonts="1">
    <font>
      <sz val="11"/>
      <color theme="1"/>
      <name val="Calibri"/>
      <family val="2"/>
      <scheme val="minor"/>
    </font>
    <font>
      <b/>
      <sz val="11"/>
      <color theme="1"/>
      <name val="Calibri"/>
      <family val="2"/>
      <scheme val="minor"/>
    </font>
    <font>
      <b/>
      <sz val="9"/>
      <color theme="1"/>
      <name val="Calibri"/>
      <family val="2"/>
      <scheme val="minor"/>
    </font>
    <font>
      <b/>
      <sz val="14"/>
      <color theme="1"/>
      <name val="Calibri"/>
      <family val="2"/>
      <scheme val="minor"/>
    </font>
    <font>
      <b/>
      <sz val="12"/>
      <color theme="1"/>
      <name val="Calibri"/>
      <family val="2"/>
      <scheme val="minor"/>
    </font>
    <font>
      <b/>
      <sz val="8"/>
      <color theme="1"/>
      <name val="Calibri"/>
      <family val="2"/>
      <scheme val="minor"/>
    </font>
    <font>
      <b/>
      <sz val="12"/>
      <color theme="1"/>
      <name val="Calibri"/>
      <family val="2"/>
    </font>
    <font>
      <sz val="11"/>
      <name val="Calibri"/>
      <family val="2"/>
      <scheme val="minor"/>
    </font>
    <font>
      <b/>
      <sz val="11"/>
      <color theme="1"/>
      <name val="Arial"/>
      <family val="2"/>
    </font>
    <font>
      <sz val="11"/>
      <color theme="1"/>
      <name val="Arial"/>
      <family val="2"/>
    </font>
    <font>
      <sz val="10"/>
      <color theme="1"/>
      <name val="Arial"/>
      <family val="2"/>
    </font>
    <font>
      <b/>
      <sz val="15"/>
      <color theme="1"/>
      <name val="Calibri"/>
      <family val="2"/>
      <scheme val="minor"/>
    </font>
    <font>
      <sz val="9"/>
      <color theme="1"/>
      <name val="Calibri"/>
      <family val="2"/>
      <scheme val="minor"/>
    </font>
    <font>
      <sz val="32"/>
      <color theme="1"/>
      <name val="Britannic Bold"/>
      <family val="2"/>
    </font>
    <font>
      <sz val="10"/>
      <color theme="1"/>
      <name val="Calibri"/>
      <family val="2"/>
      <scheme val="minor"/>
    </font>
    <font>
      <b/>
      <sz val="11"/>
      <name val="Calibri"/>
      <family val="2"/>
      <scheme val="minor"/>
    </font>
    <font>
      <sz val="8"/>
      <color theme="1"/>
      <name val="Calibri"/>
      <family val="2"/>
      <scheme val="minor"/>
    </font>
    <font>
      <sz val="22"/>
      <color theme="1"/>
      <name val="Bookman Old Style"/>
      <family val="1"/>
    </font>
  </fonts>
  <fills count="2">
    <fill>
      <patternFill patternType="none"/>
    </fill>
    <fill>
      <patternFill patternType="gray125"/>
    </fill>
  </fills>
  <borders count="37">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top/>
      <bottom/>
      <diagonal/>
    </border>
    <border>
      <left/>
      <right style="thin">
        <color indexed="64"/>
      </right>
      <top/>
      <bottom/>
      <diagonal/>
    </border>
    <border>
      <left/>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s>
  <cellStyleXfs count="1">
    <xf numFmtId="0" fontId="0" fillId="0" borderId="0"/>
  </cellStyleXfs>
  <cellXfs count="151">
    <xf numFmtId="0" fontId="0" fillId="0" borderId="0" xfId="0"/>
    <xf numFmtId="0" fontId="0" fillId="0" borderId="0" xfId="0" applyAlignment="1">
      <alignment vertical="top"/>
    </xf>
    <xf numFmtId="0" fontId="6" fillId="0" borderId="17" xfId="0" applyFont="1" applyBorder="1" applyAlignment="1">
      <alignment vertical="center" wrapText="1"/>
    </xf>
    <xf numFmtId="0" fontId="0" fillId="0" borderId="34" xfId="0" applyBorder="1"/>
    <xf numFmtId="0" fontId="14" fillId="0" borderId="0" xfId="0" applyFont="1" applyAlignment="1">
      <alignment vertical="top"/>
    </xf>
    <xf numFmtId="0" fontId="0" fillId="0" borderId="1" xfId="0" applyBorder="1"/>
    <xf numFmtId="0" fontId="0" fillId="0" borderId="2" xfId="0" applyBorder="1"/>
    <xf numFmtId="0" fontId="0" fillId="0" borderId="3" xfId="0" applyBorder="1"/>
    <xf numFmtId="0" fontId="5" fillId="0" borderId="35" xfId="0" applyFont="1" applyBorder="1" applyAlignment="1">
      <alignment vertical="center" wrapText="1"/>
    </xf>
    <xf numFmtId="0" fontId="0" fillId="0" borderId="36" xfId="0" applyBorder="1"/>
    <xf numFmtId="0" fontId="6" fillId="0" borderId="11" xfId="0" applyFont="1" applyBorder="1" applyAlignment="1">
      <alignment vertical="center" wrapText="1"/>
    </xf>
    <xf numFmtId="0" fontId="1" fillId="0" borderId="11" xfId="0" applyFont="1" applyBorder="1" applyAlignment="1">
      <alignment vertical="top"/>
    </xf>
    <xf numFmtId="0" fontId="1" fillId="0" borderId="11" xfId="0" applyFont="1" applyBorder="1"/>
    <xf numFmtId="0" fontId="0" fillId="0" borderId="14" xfId="0" applyBorder="1"/>
    <xf numFmtId="0" fontId="0" fillId="0" borderId="11" xfId="0" applyBorder="1"/>
    <xf numFmtId="0" fontId="11" fillId="0" borderId="32" xfId="0" applyFont="1" applyBorder="1" applyAlignment="1">
      <alignment vertical="top" wrapText="1"/>
    </xf>
    <xf numFmtId="0" fontId="11" fillId="0" borderId="24" xfId="0" applyFont="1" applyBorder="1" applyAlignment="1">
      <alignment vertical="top"/>
    </xf>
    <xf numFmtId="0" fontId="11" fillId="0" borderId="26" xfId="0" applyFont="1" applyBorder="1" applyAlignment="1">
      <alignment vertical="top"/>
    </xf>
    <xf numFmtId="0" fontId="11" fillId="0" borderId="22" xfId="0" applyFont="1" applyBorder="1" applyAlignment="1">
      <alignment vertical="top"/>
    </xf>
    <xf numFmtId="0" fontId="11" fillId="0" borderId="0" xfId="0" applyFont="1" applyAlignment="1">
      <alignment vertical="top"/>
    </xf>
    <xf numFmtId="0" fontId="11" fillId="0" borderId="4" xfId="0" applyFont="1" applyBorder="1" applyAlignment="1">
      <alignment vertical="top"/>
    </xf>
    <xf numFmtId="0" fontId="11" fillId="0" borderId="21" xfId="0" applyFont="1" applyBorder="1" applyAlignment="1">
      <alignment vertical="top"/>
    </xf>
    <xf numFmtId="0" fontId="11" fillId="0" borderId="6" xfId="0" applyFont="1" applyBorder="1" applyAlignment="1">
      <alignment vertical="top"/>
    </xf>
    <xf numFmtId="0" fontId="11" fillId="0" borderId="7" xfId="0" applyFont="1" applyBorder="1" applyAlignment="1">
      <alignment vertical="top"/>
    </xf>
    <xf numFmtId="0" fontId="0" fillId="0" borderId="25" xfId="0" applyBorder="1" applyAlignment="1">
      <alignment horizontal="left" vertical="top" wrapText="1"/>
    </xf>
    <xf numFmtId="0" fontId="0" fillId="0" borderId="24" xfId="0" applyBorder="1" applyAlignment="1">
      <alignment horizontal="left" vertical="top"/>
    </xf>
    <xf numFmtId="0" fontId="0" fillId="0" borderId="31" xfId="0" applyBorder="1" applyAlignment="1">
      <alignment horizontal="left" vertical="top"/>
    </xf>
    <xf numFmtId="0" fontId="0" fillId="0" borderId="3" xfId="0" applyBorder="1" applyAlignment="1">
      <alignment horizontal="left" vertical="top"/>
    </xf>
    <xf numFmtId="0" fontId="0" fillId="0" borderId="0" xfId="0" applyAlignment="1">
      <alignment horizontal="left" vertical="top"/>
    </xf>
    <xf numFmtId="0" fontId="0" fillId="0" borderId="23" xfId="0" applyBorder="1" applyAlignment="1">
      <alignment horizontal="left" vertical="top"/>
    </xf>
    <xf numFmtId="0" fontId="0" fillId="0" borderId="27" xfId="0" applyBorder="1" applyAlignment="1">
      <alignment horizontal="left" vertical="top"/>
    </xf>
    <xf numFmtId="0" fontId="0" fillId="0" borderId="28" xfId="0" applyBorder="1" applyAlignment="1">
      <alignment horizontal="left" vertical="top"/>
    </xf>
    <xf numFmtId="0" fontId="0" fillId="0" borderId="29" xfId="0" applyBorder="1" applyAlignment="1">
      <alignment horizontal="left" vertical="top"/>
    </xf>
    <xf numFmtId="0" fontId="16" fillId="0" borderId="35" xfId="0" applyFont="1" applyBorder="1" applyAlignment="1">
      <alignment horizontal="left" vertical="center" wrapText="1"/>
    </xf>
    <xf numFmtId="0" fontId="16" fillId="0" borderId="8" xfId="0" applyFont="1" applyBorder="1" applyAlignment="1">
      <alignment horizontal="left" vertical="center" wrapText="1"/>
    </xf>
    <xf numFmtId="0" fontId="16" fillId="0" borderId="9" xfId="0" applyFont="1" applyBorder="1" applyAlignment="1">
      <alignment horizontal="left" vertical="center" wrapText="1"/>
    </xf>
    <xf numFmtId="0" fontId="16" fillId="0" borderId="17" xfId="0" applyFont="1" applyBorder="1" applyAlignment="1">
      <alignment horizontal="left" vertical="center" wrapText="1"/>
    </xf>
    <xf numFmtId="0" fontId="16" fillId="0" borderId="12" xfId="0" applyFont="1" applyBorder="1" applyAlignment="1">
      <alignment horizontal="left" vertical="center" wrapText="1"/>
    </xf>
    <xf numFmtId="0" fontId="16" fillId="0" borderId="13" xfId="0" applyFont="1" applyBorder="1" applyAlignment="1">
      <alignment horizontal="left" vertical="center" wrapText="1"/>
    </xf>
    <xf numFmtId="0" fontId="0" fillId="0" borderId="22" xfId="0" applyBorder="1" applyAlignment="1">
      <alignment horizontal="center"/>
    </xf>
    <xf numFmtId="0" fontId="0" fillId="0" borderId="23" xfId="0" applyBorder="1" applyAlignment="1">
      <alignment horizontal="center"/>
    </xf>
    <xf numFmtId="0" fontId="12" fillId="0" borderId="25" xfId="0" applyFont="1" applyBorder="1" applyAlignment="1">
      <alignment horizontal="left" vertical="top" wrapText="1"/>
    </xf>
    <xf numFmtId="0" fontId="12" fillId="0" borderId="24" xfId="0" applyFont="1" applyBorder="1" applyAlignment="1">
      <alignment horizontal="left" vertical="top" wrapText="1"/>
    </xf>
    <xf numFmtId="0" fontId="12" fillId="0" borderId="31" xfId="0" applyFont="1" applyBorder="1" applyAlignment="1">
      <alignment horizontal="left" vertical="top" wrapText="1"/>
    </xf>
    <xf numFmtId="0" fontId="12" fillId="0" borderId="3" xfId="0" applyFont="1" applyBorder="1" applyAlignment="1">
      <alignment horizontal="left" vertical="top" wrapText="1"/>
    </xf>
    <xf numFmtId="0" fontId="12" fillId="0" borderId="0" xfId="0" applyFont="1" applyAlignment="1">
      <alignment horizontal="left" vertical="top" wrapText="1"/>
    </xf>
    <xf numFmtId="0" fontId="12" fillId="0" borderId="23" xfId="0" applyFont="1" applyBorder="1" applyAlignment="1">
      <alignment horizontal="left" vertical="top" wrapText="1"/>
    </xf>
    <xf numFmtId="0" fontId="12" fillId="0" borderId="5" xfId="0" applyFont="1" applyBorder="1" applyAlignment="1">
      <alignment horizontal="left" vertical="top" wrapText="1"/>
    </xf>
    <xf numFmtId="0" fontId="12" fillId="0" borderId="6" xfId="0" applyFont="1" applyBorder="1" applyAlignment="1">
      <alignment horizontal="left" vertical="top" wrapText="1"/>
    </xf>
    <xf numFmtId="0" fontId="12" fillId="0" borderId="20" xfId="0" applyFont="1" applyBorder="1" applyAlignment="1">
      <alignment horizontal="left" vertical="top" wrapText="1"/>
    </xf>
    <xf numFmtId="0" fontId="1" fillId="0" borderId="24" xfId="0" applyFont="1" applyBorder="1" applyAlignment="1">
      <alignment horizontal="center"/>
    </xf>
    <xf numFmtId="0" fontId="1" fillId="0" borderId="31" xfId="0" applyFont="1" applyBorder="1" applyAlignment="1">
      <alignment horizontal="center"/>
    </xf>
    <xf numFmtId="0" fontId="1" fillId="0" borderId="0" xfId="0" applyFont="1" applyAlignment="1">
      <alignment horizontal="center"/>
    </xf>
    <xf numFmtId="0" fontId="1" fillId="0" borderId="23" xfId="0" applyFont="1" applyBorder="1" applyAlignment="1">
      <alignment horizontal="center"/>
    </xf>
    <xf numFmtId="0" fontId="1" fillId="0" borderId="6" xfId="0" applyFont="1" applyBorder="1" applyAlignment="1">
      <alignment horizontal="center"/>
    </xf>
    <xf numFmtId="0" fontId="1" fillId="0" borderId="20" xfId="0" applyFont="1" applyBorder="1" applyAlignment="1">
      <alignment horizontal="center"/>
    </xf>
    <xf numFmtId="0" fontId="0" fillId="0" borderId="22" xfId="0" applyBorder="1" applyAlignment="1">
      <alignment horizontal="left"/>
    </xf>
    <xf numFmtId="0" fontId="0" fillId="0" borderId="23" xfId="0" applyBorder="1" applyAlignment="1">
      <alignment horizontal="left"/>
    </xf>
    <xf numFmtId="0" fontId="0" fillId="0" borderId="0" xfId="0" applyAlignment="1">
      <alignment horizontal="left"/>
    </xf>
    <xf numFmtId="2" fontId="0" fillId="0" borderId="11" xfId="0" applyNumberFormat="1" applyBorder="1" applyAlignment="1">
      <alignment horizontal="center" vertical="top"/>
    </xf>
    <xf numFmtId="2" fontId="0" fillId="0" borderId="14" xfId="0" applyNumberFormat="1" applyBorder="1" applyAlignment="1">
      <alignment horizontal="center" vertical="top"/>
    </xf>
    <xf numFmtId="0" fontId="0" fillId="0" borderId="11" xfId="0" applyBorder="1" applyAlignment="1">
      <alignment horizontal="right"/>
    </xf>
    <xf numFmtId="2" fontId="0" fillId="0" borderId="22" xfId="0" applyNumberFormat="1" applyBorder="1" applyAlignment="1">
      <alignment horizontal="right"/>
    </xf>
    <xf numFmtId="2" fontId="0" fillId="0" borderId="4" xfId="0" applyNumberFormat="1" applyBorder="1" applyAlignment="1">
      <alignment horizontal="right"/>
    </xf>
    <xf numFmtId="0" fontId="0" fillId="0" borderId="4" xfId="0" applyBorder="1" applyAlignment="1">
      <alignment horizontal="center"/>
    </xf>
    <xf numFmtId="0" fontId="0" fillId="0" borderId="30" xfId="0" applyBorder="1" applyAlignment="1">
      <alignment horizontal="center"/>
    </xf>
    <xf numFmtId="0" fontId="0" fillId="0" borderId="19" xfId="0" applyBorder="1" applyAlignment="1">
      <alignment horizontal="center"/>
    </xf>
    <xf numFmtId="0" fontId="2" fillId="0" borderId="10" xfId="0" applyFont="1" applyBorder="1" applyAlignment="1">
      <alignment horizontal="center" vertical="center" wrapText="1"/>
    </xf>
    <xf numFmtId="0" fontId="4" fillId="0" borderId="11" xfId="0" applyFont="1" applyBorder="1" applyAlignment="1">
      <alignment vertical="center"/>
    </xf>
    <xf numFmtId="0" fontId="4" fillId="0" borderId="11" xfId="0" applyFont="1" applyBorder="1" applyAlignment="1">
      <alignment horizontal="center" vertical="center"/>
    </xf>
    <xf numFmtId="0" fontId="3" fillId="0" borderId="11" xfId="0" applyFont="1" applyBorder="1" applyAlignment="1">
      <alignment horizontal="center" vertical="center" wrapText="1"/>
    </xf>
    <xf numFmtId="0" fontId="4" fillId="0" borderId="11" xfId="0" applyFont="1" applyBorder="1" applyAlignment="1">
      <alignment horizontal="center" vertical="center" wrapText="1"/>
    </xf>
    <xf numFmtId="0" fontId="0" fillId="0" borderId="0" xfId="0"/>
    <xf numFmtId="0" fontId="0" fillId="0" borderId="23" xfId="0" applyBorder="1"/>
    <xf numFmtId="0" fontId="1" fillId="0" borderId="10" xfId="0" applyFont="1" applyBorder="1" applyAlignment="1">
      <alignment horizontal="center"/>
    </xf>
    <xf numFmtId="0" fontId="1" fillId="0" borderId="11" xfId="0" applyFont="1" applyBorder="1" applyAlignment="1">
      <alignment horizontal="center"/>
    </xf>
    <xf numFmtId="0" fontId="1" fillId="0" borderId="10" xfId="0" applyFont="1" applyBorder="1" applyAlignment="1">
      <alignment horizontal="left"/>
    </xf>
    <xf numFmtId="0" fontId="1" fillId="0" borderId="11" xfId="0" applyFont="1" applyBorder="1" applyAlignment="1">
      <alignment horizontal="left"/>
    </xf>
    <xf numFmtId="0" fontId="17" fillId="0" borderId="10" xfId="0" applyFont="1" applyBorder="1" applyAlignment="1">
      <alignment horizontal="center" vertical="center"/>
    </xf>
    <xf numFmtId="0" fontId="17" fillId="0" borderId="11" xfId="0" applyFont="1" applyBorder="1" applyAlignment="1">
      <alignment horizontal="center" vertical="center"/>
    </xf>
    <xf numFmtId="0" fontId="17" fillId="0" borderId="14" xfId="0" applyFont="1" applyBorder="1" applyAlignment="1">
      <alignment horizontal="center" vertical="center"/>
    </xf>
    <xf numFmtId="0" fontId="1" fillId="0" borderId="10" xfId="0" applyFont="1" applyBorder="1" applyAlignment="1">
      <alignment horizontal="left" vertical="top"/>
    </xf>
    <xf numFmtId="0" fontId="1" fillId="0" borderId="11" xfId="0" applyFont="1" applyBorder="1" applyAlignment="1">
      <alignment horizontal="left" vertical="top"/>
    </xf>
    <xf numFmtId="0" fontId="1" fillId="0" borderId="14" xfId="0" applyFont="1" applyBorder="1" applyAlignment="1">
      <alignment horizontal="left"/>
    </xf>
    <xf numFmtId="0" fontId="1" fillId="0" borderId="14" xfId="0" applyFont="1" applyBorder="1" applyAlignment="1">
      <alignment horizontal="center"/>
    </xf>
    <xf numFmtId="0" fontId="4" fillId="0" borderId="14" xfId="0" applyFont="1" applyBorder="1" applyAlignment="1">
      <alignment horizontal="center" vertical="center" wrapText="1"/>
    </xf>
    <xf numFmtId="0" fontId="1" fillId="0" borderId="10" xfId="0" applyFont="1" applyBorder="1" applyAlignment="1">
      <alignment horizontal="left" vertical="top" wrapText="1"/>
    </xf>
    <xf numFmtId="0" fontId="1" fillId="0" borderId="14" xfId="0" applyFont="1" applyBorder="1" applyAlignment="1">
      <alignment horizontal="left" vertical="top"/>
    </xf>
    <xf numFmtId="0" fontId="0" fillId="0" borderId="11" xfId="0" applyFont="1" applyBorder="1" applyAlignment="1">
      <alignment horizontal="left" vertical="top"/>
    </xf>
    <xf numFmtId="0" fontId="13" fillId="0" borderId="2" xfId="0" applyFont="1" applyBorder="1" applyAlignment="1">
      <alignment horizontal="center"/>
    </xf>
    <xf numFmtId="0" fontId="13" fillId="0" borderId="15" xfId="0" applyFont="1" applyBorder="1" applyAlignment="1">
      <alignment horizontal="center"/>
    </xf>
    <xf numFmtId="0" fontId="13" fillId="0" borderId="0" xfId="0" applyFont="1" applyAlignment="1">
      <alignment horizontal="center"/>
    </xf>
    <xf numFmtId="0" fontId="13" fillId="0" borderId="23" xfId="0" applyFont="1" applyBorder="1" applyAlignment="1">
      <alignment horizontal="center"/>
    </xf>
    <xf numFmtId="0" fontId="3" fillId="0" borderId="10" xfId="0" applyFont="1" applyBorder="1" applyAlignment="1">
      <alignment horizontal="center"/>
    </xf>
    <xf numFmtId="0" fontId="3" fillId="0" borderId="11" xfId="0" applyFont="1" applyBorder="1" applyAlignment="1">
      <alignment horizontal="center"/>
    </xf>
    <xf numFmtId="0" fontId="3" fillId="0" borderId="14" xfId="0" applyFont="1" applyBorder="1" applyAlignment="1">
      <alignment horizontal="center"/>
    </xf>
    <xf numFmtId="0" fontId="0" fillId="0" borderId="11" xfId="0" applyBorder="1" applyAlignment="1">
      <alignment horizontal="center"/>
    </xf>
    <xf numFmtId="0" fontId="3" fillId="0" borderId="3" xfId="0" applyFont="1" applyBorder="1" applyAlignment="1">
      <alignment horizontal="left" vertical="top" wrapText="1"/>
    </xf>
    <xf numFmtId="0" fontId="3" fillId="0" borderId="0" xfId="0" applyFont="1" applyAlignment="1">
      <alignment horizontal="left" vertical="top" wrapText="1"/>
    </xf>
    <xf numFmtId="0" fontId="3" fillId="0" borderId="4" xfId="0" applyFont="1" applyBorder="1" applyAlignment="1">
      <alignment horizontal="left" vertical="top" wrapText="1"/>
    </xf>
    <xf numFmtId="0" fontId="7" fillId="0" borderId="10" xfId="0" applyFont="1" applyBorder="1" applyAlignment="1">
      <alignment horizontal="center" vertical="top" wrapText="1"/>
    </xf>
    <xf numFmtId="0" fontId="7" fillId="0" borderId="11" xfId="0" applyFont="1" applyBorder="1" applyAlignment="1">
      <alignment horizontal="center" vertical="top" wrapText="1"/>
    </xf>
    <xf numFmtId="0" fontId="7" fillId="0" borderId="14" xfId="0" applyFont="1" applyBorder="1" applyAlignment="1">
      <alignment horizontal="center" vertical="top" wrapText="1"/>
    </xf>
    <xf numFmtId="0" fontId="5" fillId="0" borderId="0" xfId="0" applyFont="1" applyAlignment="1">
      <alignment horizontal="center" vertical="center" wrapText="1"/>
    </xf>
    <xf numFmtId="0" fontId="5" fillId="0" borderId="4" xfId="0" applyFont="1" applyBorder="1" applyAlignment="1">
      <alignment horizontal="center" vertical="center" wrapText="1"/>
    </xf>
    <xf numFmtId="0" fontId="0" fillId="0" borderId="11" xfId="0" applyFont="1" applyBorder="1" applyAlignment="1">
      <alignment horizontal="left"/>
    </xf>
    <xf numFmtId="0" fontId="0" fillId="0" borderId="14" xfId="0" applyFont="1" applyBorder="1" applyAlignment="1">
      <alignment horizontal="left"/>
    </xf>
    <xf numFmtId="0" fontId="8" fillId="0" borderId="17" xfId="0" applyFont="1" applyBorder="1" applyAlignment="1">
      <alignment vertical="center"/>
    </xf>
    <xf numFmtId="0" fontId="8" fillId="0" borderId="12" xfId="0" applyFont="1" applyBorder="1" applyAlignment="1">
      <alignment vertical="center"/>
    </xf>
    <xf numFmtId="0" fontId="8" fillId="0" borderId="18" xfId="0" applyFont="1" applyBorder="1" applyAlignment="1">
      <alignment vertical="center"/>
    </xf>
    <xf numFmtId="0" fontId="8" fillId="0" borderId="25" xfId="0" applyFont="1" applyBorder="1" applyAlignment="1">
      <alignment horizontal="left" vertical="top" wrapText="1"/>
    </xf>
    <xf numFmtId="0" fontId="8" fillId="0" borderId="24" xfId="0" applyFont="1" applyBorder="1" applyAlignment="1">
      <alignment horizontal="left" vertical="top"/>
    </xf>
    <xf numFmtId="0" fontId="8" fillId="0" borderId="31" xfId="0" applyFont="1" applyBorder="1" applyAlignment="1">
      <alignment horizontal="left" vertical="top"/>
    </xf>
    <xf numFmtId="0" fontId="8" fillId="0" borderId="3" xfId="0" applyFont="1" applyBorder="1" applyAlignment="1">
      <alignment horizontal="left" vertical="top"/>
    </xf>
    <xf numFmtId="0" fontId="8" fillId="0" borderId="0" xfId="0" applyFont="1" applyAlignment="1">
      <alignment horizontal="left" vertical="top"/>
    </xf>
    <xf numFmtId="0" fontId="8" fillId="0" borderId="23" xfId="0" applyFont="1" applyBorder="1" applyAlignment="1">
      <alignment horizontal="left" vertical="top"/>
    </xf>
    <xf numFmtId="0" fontId="8" fillId="0" borderId="27" xfId="0" applyFont="1" applyBorder="1" applyAlignment="1">
      <alignment horizontal="left" vertical="top"/>
    </xf>
    <xf numFmtId="0" fontId="8" fillId="0" borderId="28" xfId="0" applyFont="1" applyBorder="1" applyAlignment="1">
      <alignment horizontal="left" vertical="top"/>
    </xf>
    <xf numFmtId="0" fontId="8" fillId="0" borderId="29" xfId="0" applyFont="1" applyBorder="1" applyAlignment="1">
      <alignment horizontal="left" vertical="top"/>
    </xf>
    <xf numFmtId="0" fontId="10" fillId="0" borderId="32" xfId="0" applyFont="1" applyBorder="1" applyAlignment="1">
      <alignment horizontal="center" vertical="center" wrapText="1"/>
    </xf>
    <xf numFmtId="0" fontId="10" fillId="0" borderId="24"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28" xfId="0" applyFont="1" applyBorder="1" applyAlignment="1">
      <alignment horizontal="center" vertical="center" wrapText="1"/>
    </xf>
    <xf numFmtId="0" fontId="10" fillId="0" borderId="19" xfId="0" applyFont="1" applyBorder="1" applyAlignment="1">
      <alignment horizontal="center" vertical="center" wrapText="1"/>
    </xf>
    <xf numFmtId="0" fontId="0" fillId="0" borderId="0" xfId="0" applyAlignment="1">
      <alignment horizontal="center"/>
    </xf>
    <xf numFmtId="2" fontId="0" fillId="0" borderId="17" xfId="0" applyNumberFormat="1" applyBorder="1" applyAlignment="1">
      <alignment horizontal="center" vertical="center"/>
    </xf>
    <xf numFmtId="2" fontId="0" fillId="0" borderId="13" xfId="0" applyNumberFormat="1" applyBorder="1" applyAlignment="1">
      <alignment horizontal="center" vertical="center"/>
    </xf>
    <xf numFmtId="9" fontId="8" fillId="0" borderId="12" xfId="0" applyNumberFormat="1" applyFont="1" applyBorder="1" applyAlignment="1">
      <alignment horizontal="center" vertical="center"/>
    </xf>
    <xf numFmtId="9" fontId="8" fillId="0" borderId="18" xfId="0" applyNumberFormat="1" applyFont="1" applyBorder="1" applyAlignment="1">
      <alignment horizontal="center" vertical="center"/>
    </xf>
    <xf numFmtId="0" fontId="8" fillId="0" borderId="17" xfId="0" applyFont="1" applyBorder="1" applyAlignment="1">
      <alignment horizontal="left" vertical="center"/>
    </xf>
    <xf numFmtId="0" fontId="8" fillId="0" borderId="12" xfId="0" applyFont="1" applyBorder="1" applyAlignment="1">
      <alignment horizontal="left" vertical="center"/>
    </xf>
    <xf numFmtId="0" fontId="9" fillId="0" borderId="11" xfId="0" applyFont="1" applyBorder="1" applyAlignment="1">
      <alignment horizontal="left"/>
    </xf>
    <xf numFmtId="2" fontId="1" fillId="0" borderId="11" xfId="0" applyNumberFormat="1" applyFont="1" applyBorder="1" applyAlignment="1">
      <alignment horizontal="center" vertical="center"/>
    </xf>
    <xf numFmtId="2" fontId="1" fillId="0" borderId="14" xfId="0" applyNumberFormat="1" applyFont="1" applyBorder="1" applyAlignment="1">
      <alignment horizontal="center" vertical="center"/>
    </xf>
    <xf numFmtId="0" fontId="0" fillId="0" borderId="16" xfId="0" applyBorder="1" applyAlignment="1">
      <alignment horizontal="center"/>
    </xf>
    <xf numFmtId="0" fontId="0" fillId="0" borderId="16" xfId="0" applyBorder="1"/>
    <xf numFmtId="0" fontId="8" fillId="0" borderId="11" xfId="0" applyFont="1" applyBorder="1"/>
    <xf numFmtId="0" fontId="1" fillId="0" borderId="14" xfId="0" applyFont="1" applyBorder="1" applyAlignment="1">
      <alignment horizontal="center" vertical="center"/>
    </xf>
    <xf numFmtId="9" fontId="0" fillId="0" borderId="11" xfId="0" applyNumberFormat="1" applyBorder="1" applyAlignment="1">
      <alignment horizontal="center"/>
    </xf>
    <xf numFmtId="0" fontId="0" fillId="0" borderId="14" xfId="0" applyFont="1" applyBorder="1" applyAlignment="1">
      <alignment horizontal="left" vertical="top"/>
    </xf>
    <xf numFmtId="0" fontId="0" fillId="0" borderId="0" xfId="0" applyBorder="1"/>
    <xf numFmtId="0" fontId="0" fillId="0" borderId="18" xfId="0" applyFont="1" applyBorder="1" applyAlignment="1">
      <alignment horizontal="left" vertical="top" wrapText="1"/>
    </xf>
    <xf numFmtId="0" fontId="0" fillId="0" borderId="18" xfId="0" applyFont="1" applyBorder="1" applyAlignment="1">
      <alignment horizontal="left" vertical="top"/>
    </xf>
    <xf numFmtId="2" fontId="0" fillId="0" borderId="22" xfId="0" applyNumberFormat="1" applyBorder="1" applyAlignment="1">
      <alignment horizontal="center"/>
    </xf>
    <xf numFmtId="2" fontId="0" fillId="0" borderId="23" xfId="0" applyNumberFormat="1" applyBorder="1" applyAlignment="1">
      <alignment horizontal="center"/>
    </xf>
    <xf numFmtId="0" fontId="0" fillId="0" borderId="22" xfId="0" applyFont="1" applyBorder="1" applyAlignment="1">
      <alignment horizontal="left"/>
    </xf>
    <xf numFmtId="0" fontId="0" fillId="0" borderId="0" xfId="0" applyFont="1" applyAlignment="1">
      <alignment horizontal="left"/>
    </xf>
    <xf numFmtId="0" fontId="0" fillId="0" borderId="23" xfId="0" applyFont="1" applyBorder="1" applyAlignment="1">
      <alignment horizontal="left"/>
    </xf>
    <xf numFmtId="0" fontId="0" fillId="0" borderId="33" xfId="0" applyBorder="1" applyAlignment="1">
      <alignment horizontal="center"/>
    </xf>
    <xf numFmtId="164" fontId="0" fillId="0" borderId="33" xfId="0" applyNumberForma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64770</xdr:colOff>
      <xdr:row>0</xdr:row>
      <xdr:rowOff>0</xdr:rowOff>
    </xdr:from>
    <xdr:to>
      <xdr:col>1</xdr:col>
      <xdr:colOff>609600</xdr:colOff>
      <xdr:row>4</xdr:row>
      <xdr:rowOff>132160</xdr:rowOff>
    </xdr:to>
    <xdr:pic>
      <xdr:nvPicPr>
        <xdr:cNvPr id="5" name="Picture 4" descr="Lamitech logo.jp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a:stretch>
          <a:fillRect/>
        </a:stretch>
      </xdr:blipFill>
      <xdr:spPr>
        <a:xfrm>
          <a:off x="64770" y="0"/>
          <a:ext cx="773430" cy="825580"/>
        </a:xfrm>
        <a:prstGeom prst="rect">
          <a:avLst/>
        </a:prstGeom>
      </xdr:spPr>
    </xdr:pic>
    <xdr:clientData/>
  </xdr:twoCellAnchor>
  <xdr:twoCellAnchor editAs="oneCell">
    <xdr:from>
      <xdr:col>1</xdr:col>
      <xdr:colOff>762000</xdr:colOff>
      <xdr:row>0</xdr:row>
      <xdr:rowOff>152400</xdr:rowOff>
    </xdr:from>
    <xdr:to>
      <xdr:col>11</xdr:col>
      <xdr:colOff>297180</xdr:colOff>
      <xdr:row>3</xdr:row>
      <xdr:rowOff>160020</xdr:rowOff>
    </xdr:to>
    <xdr:pic>
      <xdr:nvPicPr>
        <xdr:cNvPr id="6" name="Picture 5" descr="Name.jpg">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a:stretch>
          <a:fillRect/>
        </a:stretch>
      </xdr:blipFill>
      <xdr:spPr>
        <a:xfrm>
          <a:off x="990600" y="152400"/>
          <a:ext cx="4038600" cy="47244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53"/>
  <sheetViews>
    <sheetView tabSelected="1" topLeftCell="A5" workbookViewId="0">
      <selection activeCell="B30" sqref="B30:H30"/>
    </sheetView>
  </sheetViews>
  <sheetFormatPr defaultRowHeight="14.4" x14ac:dyDescent="0.3"/>
  <cols>
    <col min="1" max="1" width="3.33203125" customWidth="1"/>
    <col min="2" max="2" width="13.6640625" customWidth="1"/>
    <col min="3" max="3" width="9.5546875" customWidth="1"/>
    <col min="4" max="4" width="3.33203125" customWidth="1"/>
    <col min="5" max="5" width="4.33203125" customWidth="1"/>
    <col min="6" max="6" width="4.44140625" customWidth="1"/>
    <col min="7" max="7" width="7.6640625" customWidth="1"/>
    <col min="8" max="8" width="3.33203125" customWidth="1"/>
    <col min="9" max="9" width="7.44140625" customWidth="1"/>
    <col min="10" max="10" width="2.6640625" customWidth="1"/>
    <col min="11" max="11" width="9.33203125" customWidth="1"/>
    <col min="12" max="12" width="5" customWidth="1"/>
    <col min="13" max="13" width="3" customWidth="1"/>
    <col min="14" max="14" width="5.6640625" customWidth="1"/>
    <col min="15" max="15" width="6.33203125" customWidth="1"/>
    <col min="16" max="16" width="9.33203125" customWidth="1"/>
    <col min="19" max="19" width="4.5546875" customWidth="1"/>
  </cols>
  <sheetData>
    <row r="1" spans="1:22" ht="11.7" customHeight="1" x14ac:dyDescent="0.3">
      <c r="A1" s="5"/>
      <c r="B1" s="6"/>
      <c r="C1" s="89"/>
      <c r="D1" s="89"/>
      <c r="E1" s="89"/>
      <c r="F1" s="89"/>
      <c r="G1" s="89"/>
      <c r="H1" s="89"/>
      <c r="I1" s="89"/>
      <c r="J1" s="89"/>
      <c r="K1" s="89"/>
      <c r="L1" s="90"/>
      <c r="M1" s="8"/>
      <c r="N1" s="33" t="s">
        <v>8</v>
      </c>
      <c r="O1" s="34"/>
      <c r="P1" s="35"/>
    </row>
    <row r="2" spans="1:22" ht="12.6" customHeight="1" x14ac:dyDescent="0.3">
      <c r="A2" s="7"/>
      <c r="C2" s="91"/>
      <c r="D2" s="91"/>
      <c r="E2" s="91"/>
      <c r="F2" s="91"/>
      <c r="G2" s="91"/>
      <c r="H2" s="91"/>
      <c r="I2" s="91"/>
      <c r="J2" s="91"/>
      <c r="K2" s="91"/>
      <c r="L2" s="92"/>
      <c r="M2" s="2"/>
      <c r="N2" s="36" t="s">
        <v>9</v>
      </c>
      <c r="O2" s="37"/>
      <c r="P2" s="38"/>
    </row>
    <row r="3" spans="1:22" ht="12" customHeight="1" x14ac:dyDescent="0.3">
      <c r="A3" s="7"/>
      <c r="C3" s="91"/>
      <c r="D3" s="91"/>
      <c r="E3" s="91"/>
      <c r="F3" s="91"/>
      <c r="G3" s="91"/>
      <c r="H3" s="91"/>
      <c r="I3" s="91"/>
      <c r="J3" s="91"/>
      <c r="K3" s="91"/>
      <c r="L3" s="92"/>
      <c r="M3" s="10"/>
      <c r="N3" s="36" t="s">
        <v>19</v>
      </c>
      <c r="O3" s="37"/>
      <c r="P3" s="38"/>
    </row>
    <row r="4" spans="1:22" ht="18.600000000000001" customHeight="1" x14ac:dyDescent="0.3">
      <c r="A4" s="7"/>
      <c r="C4" s="91"/>
      <c r="D4" s="91"/>
      <c r="E4" s="91"/>
      <c r="F4" s="91"/>
      <c r="G4" s="91"/>
      <c r="H4" s="91"/>
      <c r="I4" s="91"/>
      <c r="J4" s="91"/>
      <c r="K4" s="91"/>
      <c r="L4" s="91"/>
      <c r="M4" s="103"/>
      <c r="N4" s="103"/>
      <c r="O4" s="103"/>
      <c r="P4" s="104"/>
    </row>
    <row r="5" spans="1:22" ht="20.7" customHeight="1" x14ac:dyDescent="0.3">
      <c r="A5" s="97" t="s">
        <v>20</v>
      </c>
      <c r="B5" s="98"/>
      <c r="C5" s="98"/>
      <c r="D5" s="98"/>
      <c r="E5" s="98"/>
      <c r="F5" s="98"/>
      <c r="G5" s="98"/>
      <c r="H5" s="98"/>
      <c r="I5" s="98"/>
      <c r="J5" s="98"/>
      <c r="K5" s="98"/>
      <c r="L5" s="98"/>
      <c r="M5" s="98"/>
      <c r="N5" s="98"/>
      <c r="O5" s="98"/>
      <c r="P5" s="99"/>
    </row>
    <row r="6" spans="1:22" s="1" customFormat="1" ht="44.7" customHeight="1" x14ac:dyDescent="0.3">
      <c r="A6" s="100" t="s">
        <v>22</v>
      </c>
      <c r="B6" s="101"/>
      <c r="C6" s="101"/>
      <c r="D6" s="101"/>
      <c r="E6" s="101"/>
      <c r="F6" s="101"/>
      <c r="G6" s="101"/>
      <c r="H6" s="101"/>
      <c r="I6" s="101"/>
      <c r="J6" s="101"/>
      <c r="K6" s="101"/>
      <c r="L6" s="101"/>
      <c r="M6" s="101"/>
      <c r="N6" s="101"/>
      <c r="O6" s="101"/>
      <c r="P6" s="102"/>
      <c r="R6" s="4"/>
    </row>
    <row r="7" spans="1:22" ht="18" x14ac:dyDescent="0.35">
      <c r="A7" s="93" t="s">
        <v>16</v>
      </c>
      <c r="B7" s="94"/>
      <c r="C7" s="94"/>
      <c r="D7" s="94"/>
      <c r="E7" s="94"/>
      <c r="F7" s="94"/>
      <c r="G7" s="94"/>
      <c r="H7" s="94"/>
      <c r="I7" s="94"/>
      <c r="J7" s="94"/>
      <c r="K7" s="94"/>
      <c r="L7" s="94"/>
      <c r="M7" s="94"/>
      <c r="N7" s="94"/>
      <c r="O7" s="94"/>
      <c r="P7" s="95"/>
    </row>
    <row r="8" spans="1:22" ht="11.25" customHeight="1" x14ac:dyDescent="0.3">
      <c r="A8" s="78" t="s">
        <v>37</v>
      </c>
      <c r="B8" s="79"/>
      <c r="C8" s="79"/>
      <c r="D8" s="79"/>
      <c r="E8" s="79"/>
      <c r="F8" s="79"/>
      <c r="G8" s="79"/>
      <c r="H8" s="79"/>
      <c r="I8" s="79"/>
      <c r="J8" s="79"/>
      <c r="K8" s="79"/>
      <c r="L8" s="79"/>
      <c r="M8" s="79"/>
      <c r="N8" s="79"/>
      <c r="O8" s="79"/>
      <c r="P8" s="80"/>
    </row>
    <row r="9" spans="1:22" ht="11.25" customHeight="1" x14ac:dyDescent="0.3">
      <c r="A9" s="78"/>
      <c r="B9" s="79"/>
      <c r="C9" s="79"/>
      <c r="D9" s="79"/>
      <c r="E9" s="79"/>
      <c r="F9" s="79"/>
      <c r="G9" s="79"/>
      <c r="H9" s="79"/>
      <c r="I9" s="79"/>
      <c r="J9" s="79"/>
      <c r="K9" s="79"/>
      <c r="L9" s="79"/>
      <c r="M9" s="79"/>
      <c r="N9" s="79"/>
      <c r="O9" s="79"/>
      <c r="P9" s="80"/>
    </row>
    <row r="10" spans="1:22" x14ac:dyDescent="0.3">
      <c r="A10" s="81" t="s">
        <v>44</v>
      </c>
      <c r="B10" s="82"/>
      <c r="C10" s="82"/>
      <c r="D10" s="82"/>
      <c r="E10" s="82"/>
      <c r="F10" s="82"/>
      <c r="G10" s="82"/>
      <c r="H10" s="82"/>
      <c r="I10" s="77" t="s">
        <v>42</v>
      </c>
      <c r="J10" s="77"/>
      <c r="K10" s="77"/>
      <c r="L10" s="77"/>
      <c r="M10" s="77"/>
      <c r="N10" s="77"/>
      <c r="O10" s="77"/>
      <c r="P10" s="83"/>
    </row>
    <row r="11" spans="1:22" x14ac:dyDescent="0.3">
      <c r="A11" s="81" t="s">
        <v>45</v>
      </c>
      <c r="B11" s="82"/>
      <c r="C11" s="82"/>
      <c r="D11" s="82"/>
      <c r="E11" s="82"/>
      <c r="F11" s="82"/>
      <c r="G11" s="82"/>
      <c r="H11" s="82"/>
      <c r="I11" s="77" t="s">
        <v>51</v>
      </c>
      <c r="J11" s="77"/>
      <c r="K11" s="77"/>
      <c r="L11" s="77"/>
      <c r="M11" s="77"/>
      <c r="N11" s="77"/>
      <c r="O11" s="77"/>
      <c r="P11" s="83"/>
    </row>
    <row r="12" spans="1:22" x14ac:dyDescent="0.3">
      <c r="A12" s="81" t="s">
        <v>0</v>
      </c>
      <c r="B12" s="82"/>
      <c r="C12" s="82"/>
      <c r="D12" s="82"/>
      <c r="E12" s="82"/>
      <c r="F12" s="82"/>
      <c r="G12" s="82"/>
      <c r="H12" s="11" t="s">
        <v>1</v>
      </c>
      <c r="I12" s="77" t="s">
        <v>43</v>
      </c>
      <c r="J12" s="77"/>
      <c r="K12" s="77"/>
      <c r="L12" s="77"/>
      <c r="M12" s="77"/>
      <c r="N12" s="77"/>
      <c r="O12" s="77"/>
      <c r="P12" s="83"/>
    </row>
    <row r="13" spans="1:22" x14ac:dyDescent="0.3">
      <c r="A13" s="81" t="s">
        <v>29</v>
      </c>
      <c r="B13" s="82"/>
      <c r="C13" s="82"/>
      <c r="D13" s="82"/>
      <c r="E13" s="82"/>
      <c r="F13" s="82"/>
      <c r="G13" s="12" t="s">
        <v>2</v>
      </c>
      <c r="H13" s="12">
        <v>27</v>
      </c>
      <c r="I13" s="105" t="s">
        <v>41</v>
      </c>
      <c r="J13" s="105"/>
      <c r="K13" s="105"/>
      <c r="L13" s="105"/>
      <c r="M13" s="105"/>
      <c r="N13" s="105"/>
      <c r="O13" s="105"/>
      <c r="P13" s="106"/>
    </row>
    <row r="14" spans="1:22" x14ac:dyDescent="0.3">
      <c r="A14" s="76" t="s">
        <v>14</v>
      </c>
      <c r="B14" s="77"/>
      <c r="C14" s="96" t="s">
        <v>46</v>
      </c>
      <c r="D14" s="75"/>
      <c r="E14" s="75"/>
      <c r="F14" s="75"/>
      <c r="G14" s="75"/>
      <c r="H14" s="75"/>
      <c r="I14" s="77" t="s">
        <v>15</v>
      </c>
      <c r="J14" s="77"/>
      <c r="K14" s="96"/>
      <c r="L14" s="75"/>
      <c r="M14" s="75"/>
      <c r="N14" s="75"/>
      <c r="O14" s="75"/>
      <c r="P14" s="84"/>
    </row>
    <row r="15" spans="1:22" x14ac:dyDescent="0.3">
      <c r="A15" s="74" t="s">
        <v>26</v>
      </c>
      <c r="B15" s="75"/>
      <c r="C15" s="75"/>
      <c r="D15" s="75"/>
      <c r="E15" s="75"/>
      <c r="F15" s="75"/>
      <c r="G15" s="75"/>
      <c r="H15" s="75"/>
      <c r="I15" s="75" t="s">
        <v>27</v>
      </c>
      <c r="J15" s="75"/>
      <c r="K15" s="75"/>
      <c r="L15" s="75"/>
      <c r="M15" s="75"/>
      <c r="N15" s="75"/>
      <c r="O15" s="75"/>
      <c r="P15" s="84"/>
      <c r="V15" s="141"/>
    </row>
    <row r="16" spans="1:22" x14ac:dyDescent="0.3">
      <c r="A16" s="76" t="s">
        <v>32</v>
      </c>
      <c r="B16" s="77"/>
      <c r="C16" s="77"/>
      <c r="D16" s="77"/>
      <c r="E16" s="77"/>
      <c r="F16" s="77"/>
      <c r="G16" s="77"/>
      <c r="H16" s="77"/>
      <c r="I16" s="77" t="s">
        <v>32</v>
      </c>
      <c r="J16" s="77"/>
      <c r="K16" s="77"/>
      <c r="L16" s="77"/>
      <c r="M16" s="77"/>
      <c r="N16" s="77"/>
      <c r="O16" s="77"/>
      <c r="P16" s="83"/>
      <c r="T16" s="141"/>
    </row>
    <row r="17" spans="1:21" ht="15" customHeight="1" x14ac:dyDescent="0.3">
      <c r="A17" s="86" t="s">
        <v>35</v>
      </c>
      <c r="B17" s="82"/>
      <c r="C17" s="82"/>
      <c r="D17" s="82"/>
      <c r="E17" s="82"/>
      <c r="F17" s="82"/>
      <c r="G17" s="82"/>
      <c r="H17" s="82"/>
      <c r="I17" s="142" t="s">
        <v>40</v>
      </c>
      <c r="J17" s="88"/>
      <c r="K17" s="88"/>
      <c r="L17" s="88"/>
      <c r="M17" s="88"/>
      <c r="N17" s="88"/>
      <c r="O17" s="88"/>
      <c r="P17" s="140"/>
      <c r="T17" s="141"/>
    </row>
    <row r="18" spans="1:21" x14ac:dyDescent="0.3">
      <c r="A18" s="81"/>
      <c r="B18" s="82"/>
      <c r="C18" s="82"/>
      <c r="D18" s="82"/>
      <c r="E18" s="82"/>
      <c r="F18" s="82"/>
      <c r="G18" s="82"/>
      <c r="H18" s="82"/>
      <c r="I18" s="143"/>
      <c r="J18" s="88"/>
      <c r="K18" s="88"/>
      <c r="L18" s="88"/>
      <c r="M18" s="88"/>
      <c r="N18" s="88"/>
      <c r="O18" s="88"/>
      <c r="P18" s="140"/>
    </row>
    <row r="19" spans="1:21" x14ac:dyDescent="0.3">
      <c r="A19" s="81"/>
      <c r="B19" s="82"/>
      <c r="C19" s="82"/>
      <c r="D19" s="82"/>
      <c r="E19" s="82"/>
      <c r="F19" s="82"/>
      <c r="G19" s="82"/>
      <c r="H19" s="82"/>
      <c r="I19" s="143"/>
      <c r="J19" s="88"/>
      <c r="K19" s="88"/>
      <c r="L19" s="88"/>
      <c r="M19" s="88"/>
      <c r="N19" s="88"/>
      <c r="O19" s="88"/>
      <c r="P19" s="140"/>
    </row>
    <row r="20" spans="1:21" x14ac:dyDescent="0.3">
      <c r="A20" s="81"/>
      <c r="B20" s="82"/>
      <c r="C20" s="82"/>
      <c r="D20" s="82"/>
      <c r="E20" s="82"/>
      <c r="F20" s="82"/>
      <c r="G20" s="82"/>
      <c r="H20" s="82"/>
      <c r="I20" s="143"/>
      <c r="J20" s="88"/>
      <c r="K20" s="88"/>
      <c r="L20" s="88"/>
      <c r="M20" s="88"/>
      <c r="N20" s="88"/>
      <c r="O20" s="88"/>
      <c r="P20" s="140"/>
    </row>
    <row r="21" spans="1:21" x14ac:dyDescent="0.3">
      <c r="A21" s="81"/>
      <c r="B21" s="82"/>
      <c r="C21" s="82"/>
      <c r="D21" s="82"/>
      <c r="E21" s="82"/>
      <c r="F21" s="82"/>
      <c r="G21" s="82"/>
      <c r="H21" s="82"/>
      <c r="I21" s="143"/>
      <c r="J21" s="88"/>
      <c r="K21" s="88"/>
      <c r="L21" s="88"/>
      <c r="M21" s="88"/>
      <c r="N21" s="88"/>
      <c r="O21" s="88"/>
      <c r="P21" s="140"/>
      <c r="U21" s="141"/>
    </row>
    <row r="22" spans="1:21" x14ac:dyDescent="0.3">
      <c r="A22" s="81" t="s">
        <v>33</v>
      </c>
      <c r="B22" s="82"/>
      <c r="C22" s="82"/>
      <c r="D22" s="82"/>
      <c r="E22" s="82"/>
      <c r="F22" s="82"/>
      <c r="G22" s="82"/>
      <c r="H22" s="82"/>
      <c r="I22" s="82" t="s">
        <v>33</v>
      </c>
      <c r="J22" s="82"/>
      <c r="K22" s="82"/>
      <c r="L22" s="82"/>
      <c r="M22" s="82"/>
      <c r="N22" s="82"/>
      <c r="O22" s="82"/>
      <c r="P22" s="87"/>
    </row>
    <row r="23" spans="1:21" x14ac:dyDescent="0.3">
      <c r="A23" s="76" t="s">
        <v>34</v>
      </c>
      <c r="B23" s="77"/>
      <c r="C23" s="77"/>
      <c r="D23" s="77"/>
      <c r="E23" s="77"/>
      <c r="F23" s="77"/>
      <c r="G23" s="12" t="s">
        <v>2</v>
      </c>
      <c r="H23" s="14">
        <v>29</v>
      </c>
      <c r="I23" s="77" t="s">
        <v>36</v>
      </c>
      <c r="J23" s="77"/>
      <c r="K23" s="77"/>
      <c r="L23" s="77"/>
      <c r="M23" s="77"/>
      <c r="N23" s="77"/>
      <c r="O23" s="12" t="s">
        <v>2</v>
      </c>
      <c r="P23" s="13">
        <v>29</v>
      </c>
    </row>
    <row r="24" spans="1:21" ht="15" customHeight="1" x14ac:dyDescent="0.3">
      <c r="A24" s="67" t="s">
        <v>3</v>
      </c>
      <c r="B24" s="70" t="s">
        <v>4</v>
      </c>
      <c r="C24" s="70"/>
      <c r="D24" s="70"/>
      <c r="E24" s="70"/>
      <c r="F24" s="70"/>
      <c r="G24" s="70"/>
      <c r="H24" s="70"/>
      <c r="I24" s="71" t="s">
        <v>12</v>
      </c>
      <c r="J24" s="71"/>
      <c r="K24" s="69" t="s">
        <v>10</v>
      </c>
      <c r="L24" s="68" t="s">
        <v>13</v>
      </c>
      <c r="M24" s="69" t="s">
        <v>18</v>
      </c>
      <c r="N24" s="69"/>
      <c r="O24" s="71" t="s">
        <v>11</v>
      </c>
      <c r="P24" s="85"/>
    </row>
    <row r="25" spans="1:21" ht="15.75" customHeight="1" x14ac:dyDescent="0.3">
      <c r="A25" s="67"/>
      <c r="B25" s="70"/>
      <c r="C25" s="70"/>
      <c r="D25" s="70"/>
      <c r="E25" s="70"/>
      <c r="F25" s="70"/>
      <c r="G25" s="70"/>
      <c r="H25" s="70"/>
      <c r="I25" s="71"/>
      <c r="J25" s="71"/>
      <c r="K25" s="69"/>
      <c r="L25" s="68"/>
      <c r="M25" s="69"/>
      <c r="N25" s="69"/>
      <c r="O25" s="71"/>
      <c r="P25" s="85"/>
    </row>
    <row r="26" spans="1:21" x14ac:dyDescent="0.3">
      <c r="A26" s="9">
        <v>1</v>
      </c>
      <c r="B26" s="56" t="s">
        <v>47</v>
      </c>
      <c r="C26" s="58"/>
      <c r="D26" s="58"/>
      <c r="E26" s="58"/>
      <c r="F26" s="58"/>
      <c r="G26" s="58"/>
      <c r="H26" s="57"/>
      <c r="I26" s="56">
        <v>3907</v>
      </c>
      <c r="J26" s="57"/>
      <c r="K26" s="150">
        <v>1150</v>
      </c>
      <c r="L26" s="149" t="s">
        <v>28</v>
      </c>
      <c r="M26" s="144">
        <v>161</v>
      </c>
      <c r="N26" s="145"/>
      <c r="O26" s="62">
        <f t="shared" ref="O26" si="0">K26*M26</f>
        <v>185150</v>
      </c>
      <c r="P26" s="63"/>
    </row>
    <row r="27" spans="1:21" x14ac:dyDescent="0.3">
      <c r="A27" s="9">
        <v>2</v>
      </c>
      <c r="B27" s="146" t="s">
        <v>49</v>
      </c>
      <c r="C27" s="147"/>
      <c r="D27" s="147"/>
      <c r="E27" s="147"/>
      <c r="F27" s="147"/>
      <c r="G27" s="147"/>
      <c r="H27" s="148"/>
      <c r="I27" s="56">
        <v>7019</v>
      </c>
      <c r="J27" s="57"/>
      <c r="K27" s="150">
        <v>140</v>
      </c>
      <c r="L27" s="149" t="s">
        <v>28</v>
      </c>
      <c r="M27" s="144">
        <v>123</v>
      </c>
      <c r="N27" s="145"/>
      <c r="O27" s="62">
        <f>K27*M27</f>
        <v>17220</v>
      </c>
      <c r="P27" s="63"/>
    </row>
    <row r="28" spans="1:21" x14ac:dyDescent="0.3">
      <c r="A28" s="9">
        <v>3</v>
      </c>
      <c r="B28" s="56" t="s">
        <v>48</v>
      </c>
      <c r="C28" s="58"/>
      <c r="D28" s="58"/>
      <c r="E28" s="58"/>
      <c r="F28" s="58"/>
      <c r="G28" s="58"/>
      <c r="H28" s="57"/>
      <c r="I28" s="56">
        <v>3211</v>
      </c>
      <c r="J28" s="57"/>
      <c r="K28" s="150">
        <v>10</v>
      </c>
      <c r="L28" s="149" t="s">
        <v>28</v>
      </c>
      <c r="M28" s="144">
        <v>350</v>
      </c>
      <c r="N28" s="145"/>
      <c r="O28" s="62">
        <f>K28*M28</f>
        <v>3500</v>
      </c>
      <c r="P28" s="63"/>
    </row>
    <row r="29" spans="1:21" x14ac:dyDescent="0.3">
      <c r="A29" s="9"/>
      <c r="B29" s="56"/>
      <c r="C29" s="58"/>
      <c r="D29" s="58"/>
      <c r="E29" s="58"/>
      <c r="F29" s="58"/>
      <c r="G29" s="58"/>
      <c r="H29" s="57"/>
      <c r="I29" s="56"/>
      <c r="J29" s="57"/>
      <c r="K29" s="150"/>
      <c r="L29" s="149"/>
      <c r="M29" s="144"/>
      <c r="N29" s="145"/>
      <c r="O29" s="62"/>
      <c r="P29" s="63"/>
    </row>
    <row r="30" spans="1:21" x14ac:dyDescent="0.3">
      <c r="A30" s="9" t="s">
        <v>38</v>
      </c>
      <c r="B30" s="56" t="s">
        <v>38</v>
      </c>
      <c r="C30" s="58"/>
      <c r="D30" s="58"/>
      <c r="E30" s="58"/>
      <c r="F30" s="58"/>
      <c r="G30" s="58"/>
      <c r="H30" s="57"/>
      <c r="I30" s="56" t="s">
        <v>38</v>
      </c>
      <c r="J30" s="57"/>
      <c r="K30" s="150" t="s">
        <v>38</v>
      </c>
      <c r="L30" s="149" t="s">
        <v>38</v>
      </c>
      <c r="M30" s="144" t="s">
        <v>38</v>
      </c>
      <c r="N30" s="145"/>
      <c r="O30" s="62" t="s">
        <v>38</v>
      </c>
      <c r="P30" s="63"/>
    </row>
    <row r="31" spans="1:21" x14ac:dyDescent="0.3">
      <c r="A31" s="9" t="s">
        <v>38</v>
      </c>
      <c r="B31" s="56" t="s">
        <v>38</v>
      </c>
      <c r="C31" s="58"/>
      <c r="D31" s="58"/>
      <c r="E31" s="58"/>
      <c r="F31" s="58"/>
      <c r="G31" s="58"/>
      <c r="H31" s="57"/>
      <c r="I31" s="56" t="s">
        <v>39</v>
      </c>
      <c r="J31" s="57"/>
      <c r="K31" s="150" t="s">
        <v>38</v>
      </c>
      <c r="L31" s="149" t="s">
        <v>38</v>
      </c>
      <c r="M31" s="144" t="s">
        <v>38</v>
      </c>
      <c r="N31" s="145"/>
      <c r="O31" s="62" t="s">
        <v>38</v>
      </c>
      <c r="P31" s="63"/>
    </row>
    <row r="32" spans="1:21" x14ac:dyDescent="0.3">
      <c r="A32" s="9" t="s">
        <v>38</v>
      </c>
      <c r="B32" s="56" t="s">
        <v>38</v>
      </c>
      <c r="C32" s="58"/>
      <c r="D32" s="58"/>
      <c r="E32" s="58"/>
      <c r="F32" s="58"/>
      <c r="G32" s="58"/>
      <c r="H32" s="57"/>
      <c r="I32" s="56" t="s">
        <v>38</v>
      </c>
      <c r="J32" s="57"/>
      <c r="K32" s="150" t="s">
        <v>38</v>
      </c>
      <c r="L32" s="149" t="s">
        <v>38</v>
      </c>
      <c r="M32" s="144" t="s">
        <v>38</v>
      </c>
      <c r="N32" s="145"/>
      <c r="O32" s="62" t="s">
        <v>38</v>
      </c>
      <c r="P32" s="63"/>
    </row>
    <row r="33" spans="1:16" x14ac:dyDescent="0.3">
      <c r="A33" s="9"/>
      <c r="B33" s="39"/>
      <c r="C33" s="125"/>
      <c r="D33" s="125"/>
      <c r="E33" s="125"/>
      <c r="F33" s="125"/>
      <c r="G33" s="125"/>
      <c r="H33" s="40"/>
      <c r="I33" s="39"/>
      <c r="J33" s="40"/>
      <c r="K33" s="149"/>
      <c r="L33" s="149"/>
      <c r="M33" s="39"/>
      <c r="N33" s="40"/>
      <c r="O33" s="39"/>
      <c r="P33" s="64"/>
    </row>
    <row r="34" spans="1:16" x14ac:dyDescent="0.3">
      <c r="A34" s="9"/>
      <c r="B34" s="39"/>
      <c r="C34" s="125"/>
      <c r="D34" s="125"/>
      <c r="E34" s="125"/>
      <c r="F34" s="125"/>
      <c r="G34" s="125"/>
      <c r="H34" s="40"/>
      <c r="I34" s="39"/>
      <c r="J34" s="40"/>
      <c r="K34" s="149"/>
      <c r="L34" s="149"/>
      <c r="M34" s="39"/>
      <c r="N34" s="40"/>
      <c r="O34" s="39"/>
      <c r="P34" s="64"/>
    </row>
    <row r="35" spans="1:16" x14ac:dyDescent="0.3">
      <c r="A35" s="9"/>
      <c r="B35" s="39"/>
      <c r="C35" s="125"/>
      <c r="D35" s="125"/>
      <c r="E35" s="125"/>
      <c r="F35" s="125"/>
      <c r="G35" s="125"/>
      <c r="H35" s="40"/>
      <c r="I35" s="39"/>
      <c r="J35" s="40"/>
      <c r="K35" s="149"/>
      <c r="L35" s="149"/>
      <c r="M35" s="39"/>
      <c r="N35" s="40"/>
      <c r="O35" s="39"/>
      <c r="P35" s="64"/>
    </row>
    <row r="36" spans="1:16" x14ac:dyDescent="0.3">
      <c r="A36" s="9"/>
      <c r="B36" s="39"/>
      <c r="C36" s="72"/>
      <c r="D36" s="72"/>
      <c r="E36" s="72"/>
      <c r="F36" s="72"/>
      <c r="G36" s="72"/>
      <c r="H36" s="73"/>
      <c r="I36" s="39"/>
      <c r="J36" s="40"/>
      <c r="K36" s="149"/>
      <c r="L36" s="149"/>
      <c r="M36" s="39"/>
      <c r="N36" s="40"/>
      <c r="O36" s="39"/>
      <c r="P36" s="64"/>
    </row>
    <row r="37" spans="1:16" x14ac:dyDescent="0.3">
      <c r="A37" s="9"/>
      <c r="B37" s="39"/>
      <c r="C37" s="72"/>
      <c r="D37" s="72"/>
      <c r="E37" s="72"/>
      <c r="F37" s="72"/>
      <c r="G37" s="72"/>
      <c r="H37" s="73"/>
      <c r="I37" s="39"/>
      <c r="J37" s="40"/>
      <c r="K37" s="149"/>
      <c r="L37" s="149"/>
      <c r="M37" s="39"/>
      <c r="N37" s="40"/>
      <c r="O37" s="39"/>
      <c r="P37" s="64"/>
    </row>
    <row r="38" spans="1:16" x14ac:dyDescent="0.3">
      <c r="A38" s="9"/>
      <c r="B38" s="39"/>
      <c r="C38" s="72"/>
      <c r="D38" s="72"/>
      <c r="E38" s="72"/>
      <c r="F38" s="72"/>
      <c r="G38" s="72"/>
      <c r="H38" s="73"/>
      <c r="I38" s="39"/>
      <c r="J38" s="40"/>
      <c r="K38" s="149"/>
      <c r="L38" s="149"/>
      <c r="M38" s="39"/>
      <c r="N38" s="40"/>
      <c r="O38" s="39"/>
      <c r="P38" s="64"/>
    </row>
    <row r="39" spans="1:16" x14ac:dyDescent="0.3">
      <c r="A39" s="9"/>
      <c r="B39" s="39"/>
      <c r="C39" s="72"/>
      <c r="D39" s="72"/>
      <c r="E39" s="72"/>
      <c r="F39" s="72"/>
      <c r="G39" s="72"/>
      <c r="H39" s="73"/>
      <c r="I39" s="39"/>
      <c r="J39" s="40"/>
      <c r="K39" s="149"/>
      <c r="L39" s="149"/>
      <c r="M39" s="39"/>
      <c r="N39" s="40"/>
      <c r="O39" s="65"/>
      <c r="P39" s="66"/>
    </row>
    <row r="40" spans="1:16" x14ac:dyDescent="0.3">
      <c r="A40" s="3"/>
      <c r="B40" s="135"/>
      <c r="C40" s="136"/>
      <c r="D40" s="136"/>
      <c r="E40" s="136"/>
      <c r="F40" s="136"/>
      <c r="G40" s="136"/>
      <c r="H40" s="136"/>
      <c r="I40" s="61" t="s">
        <v>30</v>
      </c>
      <c r="J40" s="61"/>
      <c r="K40" s="61"/>
      <c r="L40" s="61"/>
      <c r="M40" s="139"/>
      <c r="N40" s="96"/>
      <c r="O40" s="59"/>
      <c r="P40" s="60"/>
    </row>
    <row r="41" spans="1:16" x14ac:dyDescent="0.3">
      <c r="A41" s="110" t="s">
        <v>50</v>
      </c>
      <c r="B41" s="111"/>
      <c r="C41" s="111"/>
      <c r="D41" s="111"/>
      <c r="E41" s="111"/>
      <c r="F41" s="111"/>
      <c r="G41" s="111"/>
      <c r="H41" s="111"/>
      <c r="I41" s="112"/>
      <c r="J41" s="107" t="s">
        <v>17</v>
      </c>
      <c r="K41" s="108"/>
      <c r="L41" s="108"/>
      <c r="M41" s="108"/>
      <c r="N41" s="109"/>
      <c r="O41" s="126">
        <f>SUM(O26:O40)</f>
        <v>205870</v>
      </c>
      <c r="P41" s="127"/>
    </row>
    <row r="42" spans="1:16" ht="14.7" customHeight="1" x14ac:dyDescent="0.3">
      <c r="A42" s="113"/>
      <c r="B42" s="114"/>
      <c r="C42" s="114"/>
      <c r="D42" s="114"/>
      <c r="E42" s="114"/>
      <c r="F42" s="114"/>
      <c r="G42" s="114"/>
      <c r="H42" s="114"/>
      <c r="I42" s="115"/>
      <c r="J42" s="130" t="s">
        <v>21</v>
      </c>
      <c r="K42" s="131"/>
      <c r="L42" s="131"/>
      <c r="M42" s="128">
        <v>0.18</v>
      </c>
      <c r="N42" s="129"/>
      <c r="O42" s="126">
        <f>O41*M42</f>
        <v>37056.6</v>
      </c>
      <c r="P42" s="127"/>
    </row>
    <row r="43" spans="1:16" x14ac:dyDescent="0.3">
      <c r="A43" s="116"/>
      <c r="B43" s="117"/>
      <c r="C43" s="117"/>
      <c r="D43" s="117"/>
      <c r="E43" s="117"/>
      <c r="F43" s="117"/>
      <c r="G43" s="117"/>
      <c r="H43" s="117"/>
      <c r="I43" s="118"/>
      <c r="J43" s="137" t="s">
        <v>5</v>
      </c>
      <c r="K43" s="137"/>
      <c r="L43" s="137"/>
      <c r="M43" s="137"/>
      <c r="N43" s="137"/>
      <c r="O43" s="133">
        <f>O41+O42</f>
        <v>242926.6</v>
      </c>
      <c r="P43" s="138"/>
    </row>
    <row r="44" spans="1:16" x14ac:dyDescent="0.3">
      <c r="A44" s="24" t="s">
        <v>25</v>
      </c>
      <c r="B44" s="25"/>
      <c r="C44" s="25"/>
      <c r="D44" s="25"/>
      <c r="E44" s="25"/>
      <c r="F44" s="25"/>
      <c r="G44" s="25"/>
      <c r="H44" s="25"/>
      <c r="I44" s="26"/>
      <c r="J44" s="132" t="s">
        <v>6</v>
      </c>
      <c r="K44" s="132"/>
      <c r="L44" s="132"/>
      <c r="M44" s="132"/>
      <c r="N44" s="132"/>
      <c r="O44" s="133">
        <v>0</v>
      </c>
      <c r="P44" s="134"/>
    </row>
    <row r="45" spans="1:16" x14ac:dyDescent="0.3">
      <c r="A45" s="27"/>
      <c r="B45" s="28"/>
      <c r="C45" s="28"/>
      <c r="D45" s="28"/>
      <c r="E45" s="28"/>
      <c r="F45" s="28"/>
      <c r="G45" s="28"/>
      <c r="H45" s="28"/>
      <c r="I45" s="29"/>
      <c r="J45" s="119" t="s">
        <v>7</v>
      </c>
      <c r="K45" s="120"/>
      <c r="L45" s="120"/>
      <c r="M45" s="120"/>
      <c r="N45" s="120"/>
      <c r="O45" s="120"/>
      <c r="P45" s="121"/>
    </row>
    <row r="46" spans="1:16" ht="18.75" customHeight="1" x14ac:dyDescent="0.3">
      <c r="A46" s="30"/>
      <c r="B46" s="31"/>
      <c r="C46" s="31"/>
      <c r="D46" s="31"/>
      <c r="E46" s="31"/>
      <c r="F46" s="31"/>
      <c r="G46" s="31"/>
      <c r="H46" s="31"/>
      <c r="I46" s="32"/>
      <c r="J46" s="122"/>
      <c r="K46" s="123"/>
      <c r="L46" s="123"/>
      <c r="M46" s="123"/>
      <c r="N46" s="123"/>
      <c r="O46" s="123"/>
      <c r="P46" s="124"/>
    </row>
    <row r="47" spans="1:16" ht="15" customHeight="1" x14ac:dyDescent="0.3">
      <c r="A47" s="41" t="s">
        <v>23</v>
      </c>
      <c r="B47" s="42"/>
      <c r="C47" s="42"/>
      <c r="D47" s="42"/>
      <c r="E47" s="42"/>
      <c r="F47" s="43"/>
      <c r="G47" s="50"/>
      <c r="H47" s="50"/>
      <c r="I47" s="51"/>
      <c r="J47" s="15" t="s">
        <v>24</v>
      </c>
      <c r="K47" s="16"/>
      <c r="L47" s="16"/>
      <c r="M47" s="16"/>
      <c r="N47" s="16"/>
      <c r="O47" s="16"/>
      <c r="P47" s="17"/>
    </row>
    <row r="48" spans="1:16" ht="15" customHeight="1" x14ac:dyDescent="0.3">
      <c r="A48" s="44"/>
      <c r="B48" s="45"/>
      <c r="C48" s="45"/>
      <c r="D48" s="45"/>
      <c r="E48" s="45"/>
      <c r="F48" s="46"/>
      <c r="G48" s="52"/>
      <c r="H48" s="52"/>
      <c r="I48" s="53"/>
      <c r="J48" s="18"/>
      <c r="K48" s="19"/>
      <c r="L48" s="19"/>
      <c r="M48" s="19"/>
      <c r="N48" s="19"/>
      <c r="O48" s="19"/>
      <c r="P48" s="20"/>
    </row>
    <row r="49" spans="1:16" ht="14.7" customHeight="1" x14ac:dyDescent="0.3">
      <c r="A49" s="44"/>
      <c r="B49" s="45"/>
      <c r="C49" s="45"/>
      <c r="D49" s="45"/>
      <c r="E49" s="45"/>
      <c r="F49" s="46"/>
      <c r="G49" s="52"/>
      <c r="H49" s="52"/>
      <c r="I49" s="53"/>
      <c r="J49" s="18"/>
      <c r="K49" s="19"/>
      <c r="L49" s="19"/>
      <c r="M49" s="19"/>
      <c r="N49" s="19"/>
      <c r="O49" s="19"/>
      <c r="P49" s="20"/>
    </row>
    <row r="50" spans="1:16" ht="14.7" customHeight="1" x14ac:dyDescent="0.3">
      <c r="A50" s="44"/>
      <c r="B50" s="45"/>
      <c r="C50" s="45"/>
      <c r="D50" s="45"/>
      <c r="E50" s="45"/>
      <c r="F50" s="46"/>
      <c r="G50" s="52"/>
      <c r="H50" s="52"/>
      <c r="I50" s="53"/>
      <c r="J50" s="18"/>
      <c r="K50" s="19"/>
      <c r="L50" s="19"/>
      <c r="M50" s="19"/>
      <c r="N50" s="19"/>
      <c r="O50" s="19"/>
      <c r="P50" s="20"/>
    </row>
    <row r="51" spans="1:16" ht="14.7" customHeight="1" x14ac:dyDescent="0.3">
      <c r="A51" s="44"/>
      <c r="B51" s="45"/>
      <c r="C51" s="45"/>
      <c r="D51" s="45"/>
      <c r="E51" s="45"/>
      <c r="F51" s="46"/>
      <c r="G51" s="52"/>
      <c r="H51" s="52"/>
      <c r="I51" s="53"/>
      <c r="J51" s="18"/>
      <c r="K51" s="19"/>
      <c r="L51" s="19"/>
      <c r="M51" s="19"/>
      <c r="N51" s="19"/>
      <c r="O51" s="19"/>
      <c r="P51" s="20"/>
    </row>
    <row r="52" spans="1:16" ht="15" customHeight="1" thickBot="1" x14ac:dyDescent="0.35">
      <c r="A52" s="47"/>
      <c r="B52" s="48"/>
      <c r="C52" s="48"/>
      <c r="D52" s="48"/>
      <c r="E52" s="48"/>
      <c r="F52" s="49"/>
      <c r="G52" s="54"/>
      <c r="H52" s="54"/>
      <c r="I52" s="55"/>
      <c r="J52" s="21"/>
      <c r="K52" s="22"/>
      <c r="L52" s="22"/>
      <c r="M52" s="22"/>
      <c r="N52" s="22"/>
      <c r="O52" s="22"/>
      <c r="P52" s="23"/>
    </row>
    <row r="53" spans="1:16" x14ac:dyDescent="0.3">
      <c r="G53" t="s">
        <v>31</v>
      </c>
    </row>
  </sheetData>
  <mergeCells count="113">
    <mergeCell ref="J41:N41"/>
    <mergeCell ref="A41:I43"/>
    <mergeCell ref="J45:P46"/>
    <mergeCell ref="B33:H33"/>
    <mergeCell ref="B34:H34"/>
    <mergeCell ref="I33:J33"/>
    <mergeCell ref="I34:J34"/>
    <mergeCell ref="M33:N33"/>
    <mergeCell ref="M34:N34"/>
    <mergeCell ref="O33:P33"/>
    <mergeCell ref="O34:P34"/>
    <mergeCell ref="O42:P42"/>
    <mergeCell ref="M42:N42"/>
    <mergeCell ref="J42:L42"/>
    <mergeCell ref="O41:P41"/>
    <mergeCell ref="J44:N44"/>
    <mergeCell ref="O44:P44"/>
    <mergeCell ref="B40:H40"/>
    <mergeCell ref="B35:H35"/>
    <mergeCell ref="B38:H38"/>
    <mergeCell ref="B39:H39"/>
    <mergeCell ref="J43:N43"/>
    <mergeCell ref="O43:P43"/>
    <mergeCell ref="M40:N40"/>
    <mergeCell ref="C1:L4"/>
    <mergeCell ref="I10:P10"/>
    <mergeCell ref="A11:H11"/>
    <mergeCell ref="I11:P11"/>
    <mergeCell ref="A12:G12"/>
    <mergeCell ref="I12:P12"/>
    <mergeCell ref="A7:P7"/>
    <mergeCell ref="A14:B14"/>
    <mergeCell ref="C14:H14"/>
    <mergeCell ref="I14:J14"/>
    <mergeCell ref="K14:P14"/>
    <mergeCell ref="A5:P5"/>
    <mergeCell ref="A6:P6"/>
    <mergeCell ref="M4:P4"/>
    <mergeCell ref="A13:F13"/>
    <mergeCell ref="I13:P13"/>
    <mergeCell ref="B36:H36"/>
    <mergeCell ref="B37:H37"/>
    <mergeCell ref="B27:H27"/>
    <mergeCell ref="A15:H15"/>
    <mergeCell ref="A16:H16"/>
    <mergeCell ref="A8:P9"/>
    <mergeCell ref="A10:H10"/>
    <mergeCell ref="I16:P16"/>
    <mergeCell ref="I15:P15"/>
    <mergeCell ref="A22:H22"/>
    <mergeCell ref="O24:P25"/>
    <mergeCell ref="M26:N26"/>
    <mergeCell ref="O26:P26"/>
    <mergeCell ref="A17:H21"/>
    <mergeCell ref="A23:F23"/>
    <mergeCell ref="I23:N23"/>
    <mergeCell ref="I22:P22"/>
    <mergeCell ref="I17:P21"/>
    <mergeCell ref="O35:P35"/>
    <mergeCell ref="O29:P29"/>
    <mergeCell ref="M28:N28"/>
    <mergeCell ref="O28:P28"/>
    <mergeCell ref="M31:N31"/>
    <mergeCell ref="O31:P31"/>
    <mergeCell ref="A24:A25"/>
    <mergeCell ref="L24:L25"/>
    <mergeCell ref="M24:N25"/>
    <mergeCell ref="B24:H25"/>
    <mergeCell ref="I24:J25"/>
    <mergeCell ref="K24:K25"/>
    <mergeCell ref="B26:H26"/>
    <mergeCell ref="I26:J26"/>
    <mergeCell ref="M32:N32"/>
    <mergeCell ref="B32:H32"/>
    <mergeCell ref="M27:N27"/>
    <mergeCell ref="B30:H30"/>
    <mergeCell ref="M37:N37"/>
    <mergeCell ref="M29:N29"/>
    <mergeCell ref="O32:P32"/>
    <mergeCell ref="M35:N35"/>
    <mergeCell ref="I30:J30"/>
    <mergeCell ref="O30:P30"/>
    <mergeCell ref="M30:N30"/>
    <mergeCell ref="I38:J38"/>
    <mergeCell ref="I39:J39"/>
    <mergeCell ref="M38:N38"/>
    <mergeCell ref="O38:P38"/>
    <mergeCell ref="M39:N39"/>
    <mergeCell ref="O39:P39"/>
    <mergeCell ref="J47:P52"/>
    <mergeCell ref="A44:I46"/>
    <mergeCell ref="N1:P1"/>
    <mergeCell ref="N2:P2"/>
    <mergeCell ref="N3:P3"/>
    <mergeCell ref="I35:J35"/>
    <mergeCell ref="A47:F52"/>
    <mergeCell ref="G47:I52"/>
    <mergeCell ref="I27:J27"/>
    <mergeCell ref="I28:J28"/>
    <mergeCell ref="I29:J29"/>
    <mergeCell ref="I31:J31"/>
    <mergeCell ref="I32:J32"/>
    <mergeCell ref="I36:J36"/>
    <mergeCell ref="I37:J37"/>
    <mergeCell ref="B28:H28"/>
    <mergeCell ref="B29:H29"/>
    <mergeCell ref="B31:H31"/>
    <mergeCell ref="O40:P40"/>
    <mergeCell ref="I40:L40"/>
    <mergeCell ref="O27:P27"/>
    <mergeCell ref="O36:P36"/>
    <mergeCell ref="O37:P37"/>
    <mergeCell ref="M36:N36"/>
  </mergeCells>
  <pageMargins left="0.21" right="0.18" top="0.28999999999999998" bottom="0.18" header="0.3" footer="0.3"/>
  <pageSetup paperSize="9" scale="99" pageOrder="overThenDown"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Tax Invoice - Intra State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Kumar Chippa</cp:lastModifiedBy>
  <cp:lastPrinted>2026-02-03T11:43:01Z</cp:lastPrinted>
  <dcterms:created xsi:type="dcterms:W3CDTF">2017-06-22T18:14:43Z</dcterms:created>
  <dcterms:modified xsi:type="dcterms:W3CDTF">2026-03-26T11:57:39Z</dcterms:modified>
</cp:coreProperties>
</file>